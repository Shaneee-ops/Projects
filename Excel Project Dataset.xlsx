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hane\Downloads\"/>
    </mc:Choice>
  </mc:AlternateContent>
  <xr:revisionPtr revIDLastSave="0" documentId="13_ncr:1_{96587B6C-DA9D-4605-AB2D-4E75AC48C8EA}" xr6:coauthVersionLast="47" xr6:coauthVersionMax="47" xr10:uidLastSave="{00000000-0000-0000-0000-000000000000}"/>
  <bookViews>
    <workbookView xWindow="-120" yWindow="-120" windowWidth="38640" windowHeight="211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Age_Bracket">#N/A</definedName>
    <definedName name="Slicer_Marital_Status">#N/A</definedName>
    <definedName name="Slicer_Region">#N/A</definedName>
  </definedNames>
  <calcPr calcId="191029"/>
  <pivotCaches>
    <pivotCache cacheId="6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<sst xmlns="http://schemas.openxmlformats.org/spreadsheetml/2006/main" count="16267" uniqueCount="51">
  <si>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</si>
  <si>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</si>
  <si>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</si>
  <si>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</si>
  <si>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</si>
  <si>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</si>
  <si>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</si>
  <si>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</si>
  <si>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</si>
  <si>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</si>
  <si>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</si>
  <si>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</si>
  <si>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</si>
  <si>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</si>
  <si>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</si>
  <si>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</si>
  <si>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</si>
  <si>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</si>
  <si>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</si>
  <si>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</si>
  <si>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</si>
  <si>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</si>
  <si>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</si>
  <si>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</si>
  <si>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</si>
  <si>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</si>
  <si>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</si>
  <si>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</si>
  <si>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</si>
  <si>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</si>
  <si>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</si>
  <si>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</si>
  <si>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</si>
  <si>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</si>
  <si>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</si>
  <si>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</si>
  <si>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</si>
  <si>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</si>
  <si>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</si>
  <si>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</si>
  <si>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</si>
  <si>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</si>
  <si>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</si>
  <si>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</si>
  <si>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</si>
  <si>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</si>
  <si>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</si>
  <si>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Middle Age</t>
  </si>
  <si>
    <t>Old Age</t>
  </si>
  <si>
    <t>Youth</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</si>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</sst>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AA3B-4650-B8C0-F3E1C5EFF0A6}"/>
            </c:ext>
          </c:extLst>
        </c:ser>
        <c:ser>
          <c:idx val="1"/>
          <c:order val="1"/>
          <c:tx>
            <c:strRef>
              <c:f>'Pivot table'!$C$1:$C$2</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AA3B-4650-B8C0-F3E1C5EFF0A6}"/>
            </c:ext>
          </c:extLst>
        </c:ser>
        <c:dLbls>
          <c:showLegendKey val="0"/>
          <c:showVal val="0"/>
          <c:showCatName val="0"/>
          <c:showSerName val="0"/>
          <c:showPercent val="0"/>
          <c:showBubbleSize val="0"/>
        </c:dLbls>
        <c:gapWidth val="100"/>
        <c:overlap val="-24"/>
        <c:axId val="825016752"/>
        <c:axId val="825019632"/>
      </c:barChart>
      <c:catAx>
        <c:axId val="8250167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25019632"/>
        <c:crosses val="autoZero"/>
        <c:auto val="1"/>
        <c:lblAlgn val="ctr"/>
        <c:lblOffset val="100"/>
        <c:noMultiLvlLbl val="0"/>
      </c:catAx>
      <c:valAx>
        <c:axId val="82501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Average 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B"/>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2501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table'!$C$17:$C$18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table'!$B$19:$B$24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139-4873-9FA0-B3C977082A78}"/>
            </c:ext>
          </c:extLst>
        </c:ser>
        <c:ser>
          <c:idx val="1"/>
          <c:order val="1"/>
          <c:tx>
            <c:strRef>
              <c:f>'Pivot table'!$D$17:$D$18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table'!$B$19:$B$24</c:f>
              <c:strCache>
                <c:ptCount val="5"/>
                <c:pt idx="0">
                  <c:v>0-1 Miles</c:v>
                </c:pt>
                <c:pt idx="1">
                  <c:v>1-2 Miles</c:v>
                </c:pt>
                <c:pt idx="2">
                  <c:v>2-5 Miles</c:v>
                </c:pt>
                <c:pt idx="3">
                  <c:v>5-10 Miles</c:v>
                </c:pt>
                <c:pt idx="4">
                  <c:v>More than 10 miles</c:v>
                </c:pt>
              </c:strCache>
            </c:strRef>
          </c:cat>
          <c:val>
            <c:numRef>
              <c:f>'Pivot table'!$D$19:$D$24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B139-4873-9FA0-B3C977082A78}"/>
            </c:ext>
          </c:extLst>
        </c:ser>
        <c:dLbls>
          <c:showLegendKey val="0"/>
          <c:showVal val="0"/>
          <c:showCatName val="0"/>
          <c:showSerName val="0"/>
          <c:showPercent val="0"/>
          <c:showBubbleSize val="0"/>
        </c:dLbls>
        <c:marker val="1"/>
        <c:smooth val="0"/>
        <c:axId val="1463692479"/>
        <c:axId val="1463703039"/>
      </c:lineChart>
      <c:catAx>
        <c:axId val="14636924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703039"/>
        <c:crosses val="autoZero"/>
        <c:auto val="1"/>
        <c:lblAlgn val="ctr"/>
        <c:lblOffset val="100"/>
        <c:noMultiLvlLbl val="0"/>
      </c:catAx>
      <c:valAx>
        <c:axId val="146370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692479"/>
        <c:crosses val="autoZero"/>
        <c:crossBetween val="between"/>
      </c:valAx>
      <c:spPr>
        <a:noFill/>
        <a:ln>
          <a:noFill/>
        </a:ln>
        <a:effectLst/>
      </c:spPr>
    </c:plotArea>
    <c:legend>
      <c:legendPos val="r"/>
      <c:layout>
        <c:manualLayout>
          <c:xMode val="edge"/>
          <c:yMode val="edge"/>
          <c:x val="0.78333333333333333"/>
          <c:y val="0.43916703120443279"/>
          <c:w val="0.20338983050847459"/>
          <c:h val="0.135522173896322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Customer Age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table'!$B$58:$B$59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table'!$A$60:$A$63</c:f>
              <c:strCache>
                <c:ptCount val="3"/>
                <c:pt idx="0">
                  <c:v>Middle Age</c:v>
                </c:pt>
                <c:pt idx="1">
                  <c:v>Old Age</c:v>
                </c:pt>
                <c:pt idx="2">
                  <c:v>Youth</c:v>
                </c:pt>
              </c:strCache>
            </c:strRef>
          </c:cat>
          <c:val>
            <c:numRef>
              <c:f>'Pivot table'!$B$60:$B$63</c:f>
              <c:numCache>
                <c:formatCode>General</c:formatCode>
                <c:ptCount val="3"/>
                <c:pt idx="0">
                  <c:v>292</c:v>
                </c:pt>
                <c:pt idx="1">
                  <c:v>156</c:v>
                </c:pt>
                <c:pt idx="2">
                  <c:v>71</c:v>
                </c:pt>
              </c:numCache>
            </c:numRef>
          </c:val>
          <c:extLst>
            <c:ext xmlns:c16="http://schemas.microsoft.com/office/drawing/2014/chart" uri="{C3380CC4-5D6E-409C-BE32-E72D297353CC}">
              <c16:uniqueId val="{00000000-9A28-4393-9E5B-35DBE7C7948B}"/>
            </c:ext>
          </c:extLst>
        </c:ser>
        <c:ser>
          <c:idx val="1"/>
          <c:order val="1"/>
          <c:tx>
            <c:strRef>
              <c:f>'Pivot table'!$C$58:$C$59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table'!$A$60:$A$63</c:f>
              <c:strCache>
                <c:ptCount val="3"/>
                <c:pt idx="0">
                  <c:v>Middle Age</c:v>
                </c:pt>
                <c:pt idx="1">
                  <c:v>Old Age</c:v>
                </c:pt>
                <c:pt idx="2">
                  <c:v>Youth</c:v>
                </c:pt>
              </c:strCache>
            </c:strRef>
          </c:cat>
          <c:val>
            <c:numRef>
              <c:f>'Pivot table'!$C$60:$C$63</c:f>
              <c:numCache>
                <c:formatCode>General</c:formatCode>
                <c:ptCount val="3"/>
                <c:pt idx="0">
                  <c:v>344</c:v>
                </c:pt>
                <c:pt idx="1">
                  <c:v>98</c:v>
                </c:pt>
                <c:pt idx="2">
                  <c:v>39</c:v>
                </c:pt>
              </c:numCache>
            </c:numRef>
          </c:val>
          <c:extLst>
            <c:ext xmlns:c16="http://schemas.microsoft.com/office/drawing/2014/chart" uri="{C3380CC4-5D6E-409C-BE32-E72D297353CC}">
              <c16:uniqueId val="{00000095-9A28-4393-9E5B-35DBE7C7948B}"/>
            </c:ext>
          </c:extLst>
        </c:ser>
        <c:dLbls>
          <c:showLegendKey val="0"/>
          <c:showVal val="0"/>
          <c:showCatName val="0"/>
          <c:showSerName val="0"/>
          <c:showPercent val="0"/>
          <c:showBubbleSize val="0"/>
        </c:dLbls>
        <c:gapWidth val="115"/>
        <c:overlap val="-20"/>
        <c:axId val="1463671359"/>
        <c:axId val="1463663199"/>
      </c:barChart>
      <c:catAx>
        <c:axId val="146367135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663199"/>
        <c:crosses val="autoZero"/>
        <c:auto val="1"/>
        <c:lblAlgn val="ctr"/>
        <c:lblOffset val="100"/>
        <c:noMultiLvlLbl val="0"/>
      </c:catAx>
      <c:valAx>
        <c:axId val="146366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Purchased A Bike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6713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Dataset.xlsx]Pivot table!PivotTable1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"£"#,##0.00</c:formatCode>
                <c:ptCount val="2"/>
                <c:pt idx="0">
                  <c:v>53440</c:v>
                </c:pt>
                <c:pt idx="1">
                  <c:v>56208.178438661707</c:v>
                </c:pt>
              </c:numCache>
            </c:numRef>
          </c:val>
          <c:extLst>
            <c:ext xmlns:c16="http://schemas.microsoft.com/office/drawing/2014/chart" uri="{C3380CC4-5D6E-409C-BE32-E72D297353CC}">
              <c16:uniqueId val="{00000000-8314-4A90-9EB7-99F8E7711479}"/>
            </c:ext>
          </c:extLst>
        </c:ser>
        <c:ser>
          <c:idx val="1"/>
          <c:order val="1"/>
          <c:tx>
            <c:strRef>
              <c:f>'Pivot table'!$C$1:$C$2</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8314-4A90-9EB7-99F8E7711479}"/>
            </c:ext>
          </c:extLst>
        </c:ser>
        <c:dLbls>
          <c:showLegendKey val="0"/>
          <c:showVal val="0"/>
          <c:showCatName val="0"/>
          <c:showSerName val="0"/>
          <c:showPercent val="0"/>
          <c:showBubbleSize val="0"/>
        </c:dLbls>
        <c:gapWidth val="100"/>
        <c:overlap val="-24"/>
        <c:axId val="825016752"/>
        <c:axId val="825019632"/>
      </c:barChart>
      <c:catAx>
        <c:axId val="8250167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25019632"/>
        <c:crosses val="autoZero"/>
        <c:auto val="1"/>
        <c:lblAlgn val="ctr"/>
        <c:lblOffset val="100"/>
        <c:noMultiLvlLbl val="0"/>
      </c:catAx>
      <c:valAx>
        <c:axId val="82501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Average 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B"/>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2501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table'!$C$17:$C$18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table'!$B$19:$B$24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DE8-4688-872C-8C48D59D8DB9}"/>
            </c:ext>
          </c:extLst>
        </c:ser>
        <c:ser>
          <c:idx val="1"/>
          <c:order val="1"/>
          <c:tx>
            <c:strRef>
              <c:f>'Pivot table'!$D$17:$D$18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table'!$B$19:$B$24</c:f>
              <c:strCache>
                <c:ptCount val="5"/>
                <c:pt idx="0">
                  <c:v>0-1 Miles</c:v>
                </c:pt>
                <c:pt idx="1">
                  <c:v>1-2 Miles</c:v>
                </c:pt>
                <c:pt idx="2">
                  <c:v>2-5 Miles</c:v>
                </c:pt>
                <c:pt idx="3">
                  <c:v>5-10 Miles</c:v>
                </c:pt>
                <c:pt idx="4">
                  <c:v>More than 10 miles</c:v>
                </c:pt>
              </c:strCache>
            </c:strRef>
          </c:cat>
          <c:val>
            <c:numRef>
              <c:f>'Pivot table'!$D$19:$D$24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4DE8-4688-872C-8C48D59D8DB9}"/>
            </c:ext>
          </c:extLst>
        </c:ser>
        <c:dLbls>
          <c:showLegendKey val="0"/>
          <c:showVal val="0"/>
          <c:showCatName val="0"/>
          <c:showSerName val="0"/>
          <c:showPercent val="0"/>
          <c:showBubbleSize val="0"/>
        </c:dLbls>
        <c:marker val="1"/>
        <c:smooth val="0"/>
        <c:axId val="1463692479"/>
        <c:axId val="1463703039"/>
      </c:lineChart>
      <c:catAx>
        <c:axId val="14636924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sz="900" b="0" i="0" u="none" strike="noStrike" kern="1200" baseline="0">
                    <a:solidFill>
                      <a:sysClr val="windowText" lastClr="000000">
                        <a:lumMod val="65000"/>
                        <a:lumOff val="35000"/>
                      </a:sysClr>
                    </a:solidFill>
                  </a:rPr>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703039"/>
        <c:crosses val="autoZero"/>
        <c:auto val="1"/>
        <c:lblAlgn val="ctr"/>
        <c:lblOffset val="100"/>
        <c:noMultiLvlLbl val="0"/>
      </c:catAx>
      <c:valAx>
        <c:axId val="146370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692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layout>
        <c:manualLayout>
          <c:xMode val="edge"/>
          <c:yMode val="edge"/>
          <c:x val="0.78333333333333333"/>
          <c:y val="0.43916703120443279"/>
          <c:w val="0.1014799154334038"/>
          <c:h val="0.18392290963629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Customer Age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LID4096"/>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table'!$B$58:$B$59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table'!$A$60:$A$63</c:f>
              <c:strCache>
                <c:ptCount val="3"/>
                <c:pt idx="0">
                  <c:v>Middle Age</c:v>
                </c:pt>
                <c:pt idx="1">
                  <c:v>Old Age</c:v>
                </c:pt>
                <c:pt idx="2">
                  <c:v>Youth</c:v>
                </c:pt>
              </c:strCache>
            </c:strRef>
          </c:cat>
          <c:val>
            <c:numRef>
              <c:f>'Pivot table'!$B$60:$B$63</c:f>
              <c:numCache>
                <c:formatCode>General</c:formatCode>
                <c:ptCount val="3"/>
                <c:pt idx="0">
                  <c:v>292</c:v>
                </c:pt>
                <c:pt idx="1">
                  <c:v>156</c:v>
                </c:pt>
                <c:pt idx="2">
                  <c:v>71</c:v>
                </c:pt>
              </c:numCache>
            </c:numRef>
          </c:val>
          <c:extLst>
            <c:ext xmlns:c16="http://schemas.microsoft.com/office/drawing/2014/chart" uri="{C3380CC4-5D6E-409C-BE32-E72D297353CC}">
              <c16:uniqueId val="{00000000-9346-4017-B750-8E07997DC3BD}"/>
            </c:ext>
          </c:extLst>
        </c:ser>
        <c:ser>
          <c:idx val="1"/>
          <c:order val="1"/>
          <c:tx>
            <c:strRef>
              <c:f>'Pivot table'!$C$58:$C$59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table'!$A$60:$A$63</c:f>
              <c:strCache>
                <c:ptCount val="3"/>
                <c:pt idx="0">
                  <c:v>Middle Age</c:v>
                </c:pt>
                <c:pt idx="1">
                  <c:v>Old Age</c:v>
                </c:pt>
                <c:pt idx="2">
                  <c:v>Youth</c:v>
                </c:pt>
              </c:strCache>
            </c:strRef>
          </c:cat>
          <c:val>
            <c:numRef>
              <c:f>'Pivot table'!$C$60:$C$63</c:f>
              <c:numCache>
                <c:formatCode>General</c:formatCode>
                <c:ptCount val="3"/>
                <c:pt idx="0">
                  <c:v>344</c:v>
                </c:pt>
                <c:pt idx="1">
                  <c:v>98</c:v>
                </c:pt>
                <c:pt idx="2">
                  <c:v>39</c:v>
                </c:pt>
              </c:numCache>
            </c:numRef>
          </c:val>
          <c:extLst>
            <c:ext xmlns:c16="http://schemas.microsoft.com/office/drawing/2014/chart" uri="{C3380CC4-5D6E-409C-BE32-E72D297353CC}">
              <c16:uniqueId val="{00000001-9346-4017-B750-8E07997DC3BD}"/>
            </c:ext>
          </c:extLst>
        </c:ser>
        <c:dLbls>
          <c:showLegendKey val="0"/>
          <c:showVal val="0"/>
          <c:showCatName val="0"/>
          <c:showSerName val="0"/>
          <c:showPercent val="0"/>
          <c:showBubbleSize val="0"/>
        </c:dLbls>
        <c:gapWidth val="115"/>
        <c:overlap val="-20"/>
        <c:axId val="1463671359"/>
        <c:axId val="1463663199"/>
      </c:barChart>
      <c:catAx>
        <c:axId val="146367135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663199"/>
        <c:crosses val="autoZero"/>
        <c:auto val="1"/>
        <c:lblAlgn val="ctr"/>
        <c:lblOffset val="100"/>
        <c:noMultiLvlLbl val="0"/>
      </c:catAx>
      <c:valAx>
        <c:axId val="1463663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Purchased A Bike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636713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26</xdr:col>
      <xdr:colOff>200024</xdr:colOff>
      <xdr:row>5</xdr:row>
      <xdr:rowOff>176212</xdr:rowOff>
    </xdr:from>
    <xdr:to>
      <xdr:col>36</xdr:col>
      <xdr:colOff>371474</xdr:colOff>
      <xdr:row>25</xdr:row>
      <xdr:rowOff>133350</xdr:rowOff>
    </xdr:to>
    <xdr:graphicFrame macro="">
      <xdr:nvGraphicFramePr>
        <xdr:cNvPr id="2" name="Chart 1">
          <a:extLst>
            <a:ext uri="{FF2B5EF4-FFF2-40B4-BE49-F238E27FC236}">
              <a16:creationId xmlns:a16="http://schemas.microsoft.com/office/drawing/2014/main" id="{DCF7ED3C-F335-F073-9A21-929763F04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342900</xdr:colOff>
      <xdr:row>21</xdr:row>
      <xdr:rowOff>19051</xdr:rowOff>
    </xdr:from>
    <xdr:to>
      <xdr:col>23</xdr:col>
      <xdr:colOff>400050</xdr:colOff>
      <xdr:row>44</xdr:row>
      <xdr:rowOff>161925</xdr:rowOff>
    </xdr:to>
    <xdr:graphicFrame macro="">
      <xdr:nvGraphicFramePr>
        <xdr:cNvPr id="3" name="Chart 2">
          <a:extLst>
            <a:ext uri="{FF2B5EF4-FFF2-40B4-BE49-F238E27FC236}">
              <a16:creationId xmlns:a16="http://schemas.microsoft.com/office/drawing/2014/main" id="{0B4940E1-66D0-2107-A0F3-493DBF29F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114298</xdr:colOff>
      <xdr:row>47</xdr:row>
      <xdr:rowOff>52387</xdr:rowOff>
    </xdr:from>
    <xdr:to>
      <xdr:col>33</xdr:col>
      <xdr:colOff>180974</xdr:colOff>
      <xdr:row>77</xdr:row>
      <xdr:rowOff>85725</xdr:rowOff>
    </xdr:to>
    <xdr:graphicFrame macro="">
      <xdr:nvGraphicFramePr>
        <xdr:cNvPr id="4" name="Chart 3">
          <a:extLst>
            <a:ext uri="{FF2B5EF4-FFF2-40B4-BE49-F238E27FC236}">
              <a16:creationId xmlns:a16="http://schemas.microsoft.com/office/drawing/2014/main" id="{F8C22041-85E6-8A00-0160-A80B64FED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371475</xdr:colOff>
      <xdr:row>5</xdr:row>
      <xdr:rowOff>161924</xdr:rowOff>
    </xdr:from>
    <xdr:to>
      <xdr:col>17</xdr:col>
      <xdr:colOff>95250</xdr:colOff>
      <xdr:row>23</xdr:row>
      <xdr:rowOff>142875</xdr:rowOff>
    </xdr:to>
    <xdr:graphicFrame macro="">
      <xdr:nvGraphicFramePr>
        <xdr:cNvPr id="2" name="Chart 1">
          <a:extLst>
            <a:ext uri="{FF2B5EF4-FFF2-40B4-BE49-F238E27FC236}">
              <a16:creationId xmlns:a16="http://schemas.microsoft.com/office/drawing/2014/main" id="{93863579-21B8-41EE-A8B6-D5DBFF658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24</xdr:row>
      <xdr:rowOff>47625</xdr:rowOff>
    </xdr:from>
    <xdr:to>
      <xdr:col>17</xdr:col>
      <xdr:colOff>114300</xdr:colOff>
      <xdr:row>41</xdr:row>
      <xdr:rowOff>142875</xdr:rowOff>
    </xdr:to>
    <xdr:graphicFrame macro="">
      <xdr:nvGraphicFramePr>
        <xdr:cNvPr id="3" name="Chart 2">
          <a:extLst>
            <a:ext uri="{FF2B5EF4-FFF2-40B4-BE49-F238E27FC236}">
              <a16:creationId xmlns:a16="http://schemas.microsoft.com/office/drawing/2014/main" id="{C085E77B-C3AB-4837-B359-A2D67470F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247650</xdr:colOff>
      <xdr:row>5</xdr:row>
      <xdr:rowOff>152401</xdr:rowOff>
    </xdr:from>
    <xdr:to>
      <xdr:col>10</xdr:col>
      <xdr:colOff>361950</xdr:colOff>
      <xdr:row>23</xdr:row>
      <xdr:rowOff>171451</xdr:rowOff>
    </xdr:to>
    <xdr:graphicFrame macro="">
      <xdr:nvGraphicFramePr>
        <xdr:cNvPr id="4" name="Chart 3">
          <a:extLst>
            <a:ext uri="{FF2B5EF4-FFF2-40B4-BE49-F238E27FC236}">
              <a16:creationId xmlns:a16="http://schemas.microsoft.com/office/drawing/2014/main" id="{5213F11D-D799-4A25-9403-CB85BAD5D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119062</xdr:colOff>
      <xdr:row>17</xdr:row>
      <xdr:rowOff>9525</xdr:rowOff>
    </xdr:from>
    <xdr:to>
      <xdr:col>2</xdr:col>
      <xdr:colOff>233363</xdr:colOff>
      <xdr:row>23</xdr:row>
      <xdr:rowOff>161924</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7A0A36B-1DED-99AE-419B-87F2FB30FC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9062" y="3248025"/>
              <a:ext cx="1333501" cy="129539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10</xdr:row>
      <xdr:rowOff>166687</xdr:rowOff>
    </xdr:from>
    <xdr:to>
      <xdr:col>2</xdr:col>
      <xdr:colOff>238124</xdr:colOff>
      <xdr:row>17</xdr:row>
      <xdr:rowOff>4761</xdr:rowOff>
    </xdr:to>
    <mc:AlternateContent xmlns:mc="http://schemas.openxmlformats.org/markup-compatibility/2006">
      <mc:Choice xmlns:a14="http://schemas.microsoft.com/office/drawing/2010/main" Requires="a14">
        <xdr:graphicFrame macro="">
          <xdr:nvGraphicFramePr>
            <xdr:cNvPr id="7" name="Age Bracket">
              <a:extLst>
                <a:ext uri="{FF2B5EF4-FFF2-40B4-BE49-F238E27FC236}">
                  <a16:creationId xmlns:a16="http://schemas.microsoft.com/office/drawing/2014/main" id="{D5DC456D-5A78-7A3E-198D-4F161232032C}"/>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114299" y="2071687"/>
              <a:ext cx="1343025" cy="1171574"/>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6</xdr:row>
      <xdr:rowOff>9525</xdr:rowOff>
    </xdr:from>
    <xdr:to>
      <xdr:col>2</xdr:col>
      <xdr:colOff>238125</xdr:colOff>
      <xdr:row>10</xdr:row>
      <xdr:rowOff>161924</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35F55C13-7793-BC9F-E1F4-1E7F2C03F0A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5725" y="1152525"/>
              <a:ext cx="1371600" cy="91439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e" refreshedDate="45961.051504745374" createdVersion="8" refreshedVersion="8" minRefreshableVersion="3" recordCount="1000" xr:uid="{58202803-0A77-4548-AF4D-6A13DAE5916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Age"/>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375648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1"/>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2"/>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1"/>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1"/>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1"/>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2"/>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1"/>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1"/>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2"/>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2"/>
    <x v="0"/>
  </r>
  <r>
    <n v="20430"/>
    <x v="0"/>
    <x v="1"/>
    <n v="70000"/>
    <n v="2"/>
    <s v="Partial College"/>
    <s v="Skilled Manual"/>
    <s v="Yes"/>
    <n v="2"/>
    <x v="2"/>
    <x v="1"/>
    <n v="52"/>
    <x v="1"/>
    <x v="1"/>
  </r>
  <r>
    <n v="27494"/>
    <x v="1"/>
    <x v="0"/>
    <n v="40000"/>
    <n v="2"/>
    <s v="Partial College"/>
    <s v="Skilled Manual"/>
    <s v="No"/>
    <n v="2"/>
    <x v="3"/>
    <x v="1"/>
    <n v="53"/>
    <x v="1"/>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2"/>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1"/>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1"/>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1"/>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1"/>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1"/>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2"/>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1"/>
    <x v="1"/>
  </r>
  <r>
    <n v="25026"/>
    <x v="0"/>
    <x v="1"/>
    <n v="20000"/>
    <n v="2"/>
    <s v="Partial High School"/>
    <s v="Clerical"/>
    <s v="Yes"/>
    <n v="3"/>
    <x v="2"/>
    <x v="1"/>
    <n v="54"/>
    <x v="1"/>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1"/>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2"/>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1"/>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1"/>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1"/>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1"/>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2"/>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2"/>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1"/>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2"/>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1"/>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2"/>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2"/>
    <x v="1"/>
  </r>
  <r>
    <n v="22974"/>
    <x v="0"/>
    <x v="0"/>
    <n v="30000"/>
    <n v="2"/>
    <s v="Partial College"/>
    <s v="Clerical"/>
    <s v="Yes"/>
    <n v="2"/>
    <x v="2"/>
    <x v="1"/>
    <n v="69"/>
    <x v="1"/>
    <x v="0"/>
  </r>
  <r>
    <n v="13586"/>
    <x v="0"/>
    <x v="1"/>
    <n v="80000"/>
    <n v="4"/>
    <s v="Partial College"/>
    <s v="Professional"/>
    <s v="Yes"/>
    <n v="2"/>
    <x v="4"/>
    <x v="0"/>
    <n v="53"/>
    <x v="1"/>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1"/>
    <x v="1"/>
  </r>
  <r>
    <n v="25792"/>
    <x v="1"/>
    <x v="0"/>
    <n v="110000"/>
    <n v="3"/>
    <s v="Bachelors"/>
    <s v="Management"/>
    <s v="Yes"/>
    <n v="4"/>
    <x v="4"/>
    <x v="0"/>
    <n v="53"/>
    <x v="1"/>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1"/>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1"/>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1"/>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1"/>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1"/>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1"/>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1"/>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1"/>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1"/>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1"/>
    <x v="0"/>
  </r>
  <r>
    <n v="20528"/>
    <x v="0"/>
    <x v="1"/>
    <n v="40000"/>
    <n v="2"/>
    <s v="Partial High School"/>
    <s v="Skilled Manual"/>
    <s v="Yes"/>
    <n v="2"/>
    <x v="1"/>
    <x v="2"/>
    <n v="55"/>
    <x v="1"/>
    <x v="0"/>
  </r>
  <r>
    <n v="23549"/>
    <x v="1"/>
    <x v="1"/>
    <n v="30000"/>
    <n v="0"/>
    <s v="High School"/>
    <s v="Skilled Manual"/>
    <s v="Yes"/>
    <n v="2"/>
    <x v="2"/>
    <x v="2"/>
    <n v="30"/>
    <x v="2"/>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1"/>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1"/>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1"/>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2"/>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2"/>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2"/>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2"/>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1"/>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1"/>
    <x v="1"/>
  </r>
  <r>
    <n v="12774"/>
    <x v="0"/>
    <x v="0"/>
    <n v="40000"/>
    <n v="1"/>
    <s v="Partial College"/>
    <s v="Clerical"/>
    <s v="Yes"/>
    <n v="1"/>
    <x v="3"/>
    <x v="2"/>
    <n v="51"/>
    <x v="0"/>
    <x v="1"/>
  </r>
  <r>
    <n v="18910"/>
    <x v="1"/>
    <x v="1"/>
    <n v="30000"/>
    <n v="0"/>
    <s v="Partial College"/>
    <s v="Skilled Manual"/>
    <s v="Yes"/>
    <n v="2"/>
    <x v="2"/>
    <x v="2"/>
    <n v="30"/>
    <x v="2"/>
    <x v="0"/>
  </r>
  <r>
    <n v="11699"/>
    <x v="1"/>
    <x v="1"/>
    <n v="60000"/>
    <n v="0"/>
    <s v="Bachelors"/>
    <s v="Skilled Manual"/>
    <s v="No"/>
    <n v="2"/>
    <x v="0"/>
    <x v="2"/>
    <n v="30"/>
    <x v="2"/>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2"/>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1"/>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1"/>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2"/>
    <x v="0"/>
  </r>
  <r>
    <n v="14913"/>
    <x v="0"/>
    <x v="0"/>
    <n v="40000"/>
    <n v="1"/>
    <s v="Partial College"/>
    <s v="Clerical"/>
    <s v="Yes"/>
    <n v="1"/>
    <x v="3"/>
    <x v="2"/>
    <n v="48"/>
    <x v="0"/>
    <x v="1"/>
  </r>
  <r>
    <n v="14077"/>
    <x v="1"/>
    <x v="1"/>
    <n v="30000"/>
    <n v="0"/>
    <s v="High School"/>
    <s v="Skilled Manual"/>
    <s v="Yes"/>
    <n v="2"/>
    <x v="2"/>
    <x v="2"/>
    <n v="30"/>
    <x v="2"/>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1"/>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1"/>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1"/>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1"/>
    <x v="0"/>
  </r>
  <r>
    <n v="12768"/>
    <x v="0"/>
    <x v="1"/>
    <n v="30000"/>
    <n v="1"/>
    <s v="High School"/>
    <s v="Clerical"/>
    <s v="Yes"/>
    <n v="1"/>
    <x v="1"/>
    <x v="2"/>
    <n v="52"/>
    <x v="1"/>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1"/>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1"/>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1"/>
    <x v="0"/>
  </r>
  <r>
    <n v="13351"/>
    <x v="1"/>
    <x v="0"/>
    <n v="70000"/>
    <n v="4"/>
    <s v="Bachelors"/>
    <s v="Management"/>
    <s v="Yes"/>
    <n v="2"/>
    <x v="3"/>
    <x v="2"/>
    <n v="62"/>
    <x v="1"/>
    <x v="1"/>
  </r>
  <r>
    <n v="23333"/>
    <x v="0"/>
    <x v="1"/>
    <n v="40000"/>
    <n v="0"/>
    <s v="Partial College"/>
    <s v="Skilled Manual"/>
    <s v="No"/>
    <n v="2"/>
    <x v="3"/>
    <x v="2"/>
    <n v="30"/>
    <x v="2"/>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2"/>
    <x v="0"/>
  </r>
  <r>
    <n v="27505"/>
    <x v="1"/>
    <x v="0"/>
    <n v="40000"/>
    <n v="0"/>
    <s v="High School"/>
    <s v="Skilled Manual"/>
    <s v="Yes"/>
    <n v="2"/>
    <x v="2"/>
    <x v="2"/>
    <n v="30"/>
    <x v="2"/>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1"/>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1"/>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1"/>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1"/>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1"/>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1"/>
    <x v="1"/>
  </r>
  <r>
    <n v="23197"/>
    <x v="0"/>
    <x v="1"/>
    <n v="50000"/>
    <n v="3"/>
    <s v="Bachelors"/>
    <s v="Skilled Manual"/>
    <s v="Yes"/>
    <n v="2"/>
    <x v="1"/>
    <x v="2"/>
    <n v="40"/>
    <x v="0"/>
    <x v="0"/>
  </r>
  <r>
    <n v="14883"/>
    <x v="0"/>
    <x v="0"/>
    <n v="30000"/>
    <n v="1"/>
    <s v="Bachelors"/>
    <s v="Skilled Manual"/>
    <s v="Yes"/>
    <n v="1"/>
    <x v="2"/>
    <x v="2"/>
    <n v="53"/>
    <x v="1"/>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1"/>
    <x v="1"/>
  </r>
  <r>
    <n v="26728"/>
    <x v="1"/>
    <x v="1"/>
    <n v="70000"/>
    <n v="3"/>
    <s v="Graduate Degree"/>
    <s v="Management"/>
    <s v="No"/>
    <n v="2"/>
    <x v="3"/>
    <x v="2"/>
    <n v="53"/>
    <x v="1"/>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1"/>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1"/>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2"/>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2"/>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0"/>
    <x v="0"/>
  </r>
  <r>
    <n v="14887"/>
    <x v="0"/>
    <x v="0"/>
    <n v="30000"/>
    <n v="1"/>
    <s v="High School"/>
    <s v="Clerical"/>
    <s v="Yes"/>
    <n v="1"/>
    <x v="2"/>
    <x v="2"/>
    <n v="52"/>
    <x v="1"/>
    <x v="0"/>
  </r>
  <r>
    <n v="11734"/>
    <x v="0"/>
    <x v="1"/>
    <n v="60000"/>
    <n v="1"/>
    <s v="Partial College"/>
    <s v="Skilled Manual"/>
    <s v="No"/>
    <n v="1"/>
    <x v="0"/>
    <x v="2"/>
    <n v="47"/>
    <x v="0"/>
    <x v="0"/>
  </r>
  <r>
    <n v="17462"/>
    <x v="0"/>
    <x v="1"/>
    <n v="70000"/>
    <n v="3"/>
    <s v="Graduate Degree"/>
    <s v="Management"/>
    <s v="Yes"/>
    <n v="2"/>
    <x v="2"/>
    <x v="2"/>
    <n v="53"/>
    <x v="1"/>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1"/>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36622F-2E55-476F-9824-CEA0D14E27F2}" name="PivotTable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D63"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152" series="1">
      <pivotArea type="data" outline="0" fieldPosition="0">
        <references count="1">
          <reference field="4294967294" count="1" selected="0">
            <x v="0"/>
          </reference>
        </references>
      </pivotArea>
    </chartFormat>
    <chartFormat chart="0" format="153" series="1">
      <pivotArea type="data" outline="0" fieldPosition="0">
        <references count="2">
          <reference field="4294967294" count="1" selected="0">
            <x v="0"/>
          </reference>
          <reference field="12" count="1" selected="0">
            <x v="1"/>
          </reference>
        </references>
      </pivotArea>
    </chartFormat>
    <chartFormat chart="0" format="154" series="1">
      <pivotArea type="data" outline="0" fieldPosition="0">
        <references count="2">
          <reference field="4294967294" count="1" selected="0">
            <x v="0"/>
          </reference>
          <reference field="12" count="1" selected="0">
            <x v="2"/>
          </reference>
        </references>
      </pivotArea>
    </chartFormat>
    <chartFormat chart="0" format="155" series="1">
      <pivotArea type="data" outline="0" fieldPosition="0">
        <references count="3">
          <reference field="4294967294" count="1" selected="0">
            <x v="0"/>
          </reference>
          <reference field="12" count="1" selected="0">
            <x v="1"/>
          </reference>
          <reference field="13" count="1" selected="0">
            <x v="1"/>
          </reference>
        </references>
      </pivotArea>
    </chartFormat>
    <chartFormat chart="0" format="156" series="1">
      <pivotArea type="data" outline="0" fieldPosition="0">
        <references count="3">
          <reference field="4294967294" count="1" selected="0">
            <x v="0"/>
          </reference>
          <reference field="12" count="1" selected="0">
            <x v="2"/>
          </reference>
          <reference field="13" count="1" selected="0">
            <x v="0"/>
          </reference>
        </references>
      </pivotArea>
    </chartFormat>
    <chartFormat chart="0" format="157" series="1">
      <pivotArea type="data" outline="0" fieldPosition="0">
        <references count="3">
          <reference field="4294967294" count="1" selected="0">
            <x v="0"/>
          </reference>
          <reference field="12" count="1" selected="0">
            <x v="2"/>
          </reference>
          <reference field="13" count="1" selected="0">
            <x v="1"/>
          </reference>
        </references>
      </pivotArea>
    </chartFormat>
    <chartFormat chart="4" format="160" series="1">
      <pivotArea type="data" outline="0" fieldPosition="0">
        <references count="2">
          <reference field="4294967294" count="1" selected="0">
            <x v="0"/>
          </reference>
          <reference field="13" count="1" selected="0">
            <x v="0"/>
          </reference>
        </references>
      </pivotArea>
    </chartFormat>
    <chartFormat chart="4" format="16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9E1490-651B-404D-B0C2-CA02181856E6}"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7:E24" firstHeaderRow="1" firstDataRow="2" firstDataCol="1"/>
  <pivotFields count="14">
    <pivotField showAll="0"/>
    <pivotField showAll="0">
      <items count="3">
        <item x="0"/>
        <item x="1"/>
        <item t="default"/>
      </items>
    </pivotField>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2677A8-D23B-4446-9AA7-08C869E6078F}"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9">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72AD29-993B-4D4B-869D-C3D77A603B56}" sourceName="Region">
  <pivotTables>
    <pivotTable tabId="3" name="PivotTable2"/>
    <pivotTable tabId="3" name="PivotTable1"/>
    <pivotTable tabId="3" name="PivotTable3"/>
  </pivotTables>
  <data>
    <tabular pivotCacheId="37564859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66D515DB-09F1-4AE0-8BFF-703C37EDC910}" sourceName="Age Bracket">
  <pivotTables>
    <pivotTable tabId="3" name="PivotTable2"/>
    <pivotTable tabId="3" name="PivotTable1"/>
    <pivotTable tabId="3" name="PivotTable3"/>
  </pivotTables>
  <data>
    <tabular pivotCacheId="37564859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44C3944-46B3-40B7-A7EE-F4BAC5D4698F}" sourceName="Marital Status">
  <pivotTables>
    <pivotTable tabId="3" name="PivotTable3"/>
    <pivotTable tabId="3" name="PivotTable1"/>
    <pivotTable tabId="3" name="PivotTable2"/>
  </pivotTables>
  <data>
    <tabular pivotCacheId="37564859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F7BFF9-548E-4842-8E07-77020C3A5AD4}" cache="Slicer_Region" caption="Region" rowHeight="241300"/>
  <slicer name="Age Bracket" xr10:uid="{D8BB9EA2-81C7-4679-900B-7C7F6E29F0BF}" cache="Slicer_Age_Bracket" caption="Age Bracket" rowHeight="241300"/>
  <slicer name="Marital Status" xr10:uid="{B2519C0D-B68F-4C03-AB37-F71932E5B4E3}"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9CF9-3E9C-46C2-8EAC-FB179315728F}">
  <dimension ref="A1:N1001"/>
  <sheetViews>
    <sheetView topLeftCell="A31" workbookViewId="0">
      <selection activeCell="P19" sqref="P19"/>
    </sheetView>
  </sheetViews>
  <sheetFormatPr defaultColWidth="17.85546875" defaultRowHeight="15" x14ac:dyDescent="0.25"/>
  <cols>
    <col min="1" max="16384" width="17.85546875" style="3"/>
  </cols>
  <sheetData>
    <row r="1" spans="1:14" x14ac:dyDescent="0.25">
      <c r="A1" s="3" t="s">
        <v>0</v>
      </c>
      <c r="B1" s="3" t="s">
        <v>1</v>
      </c>
      <c r="C1" s="3" t="s">
        <v>2</v>
      </c>
      <c r="D1" s="3"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38</v>
      </c>
      <c r="D2" s="4">
        <v>40000</v>
      </c>
      <c r="E2" s="3">
        <v>1</v>
      </c>
      <c r="F2" s="3" t="s">
        <v>13</v>
      </c>
      <c r="G2" s="3" t="s">
        <v>14</v>
      </c>
      <c r="H2" s="3" t="s">
        <v>15</v>
      </c>
      <c r="I2" s="3">
        <v>0</v>
      </c>
      <c r="J2" s="3" t="s">
        <v>16</v>
      </c>
      <c r="K2" s="3" t="s">
        <v>17</v>
      </c>
      <c r="L2" s="3">
        <v>42</v>
      </c>
      <c r="M2" s="3" t="str">
        <f>IF(L2&gt;51,"Old Age",IF(L2&gt;=31,"Middle Age",IF(L2&lt;31,"Youth","Invalid")))</f>
        <v>Middle Age</v>
      </c>
      <c r="N2" s="3" t="s">
        <v>18</v>
      </c>
    </row>
    <row r="3" spans="1:14" x14ac:dyDescent="0.25">
      <c r="A3" s="3">
        <v>24107</v>
      </c>
      <c r="B3" s="3" t="s">
        <v>36</v>
      </c>
      <c r="C3" s="3" t="s">
        <v>39</v>
      </c>
      <c r="D3" s="4">
        <v>30000</v>
      </c>
      <c r="E3" s="3">
        <v>3</v>
      </c>
      <c r="F3" s="3" t="s">
        <v>19</v>
      </c>
      <c r="G3" s="3" t="s">
        <v>20</v>
      </c>
      <c r="H3" s="3" t="s">
        <v>15</v>
      </c>
      <c r="I3" s="3">
        <v>1</v>
      </c>
      <c r="J3" s="3" t="s">
        <v>16</v>
      </c>
      <c r="K3" s="3" t="s">
        <v>17</v>
      </c>
      <c r="L3" s="3">
        <v>43</v>
      </c>
      <c r="M3" s="3" t="str">
        <f t="shared" ref="M3:M66" si="0">IF(L3&gt;51,"Old Age",IF(L3&gt;=31,"Middle Age",IF(L3&lt;31,"Youth","Invalid")))</f>
        <v>Middle Age</v>
      </c>
      <c r="N3" s="3" t="s">
        <v>18</v>
      </c>
    </row>
    <row r="4" spans="1:14" x14ac:dyDescent="0.25">
      <c r="A4" s="3">
        <v>14177</v>
      </c>
      <c r="B4" s="3" t="s">
        <v>36</v>
      </c>
      <c r="C4" s="3" t="s">
        <v>39</v>
      </c>
      <c r="D4" s="4">
        <v>80000</v>
      </c>
      <c r="E4" s="3">
        <v>5</v>
      </c>
      <c r="F4" s="3" t="s">
        <v>19</v>
      </c>
      <c r="G4" s="3" t="s">
        <v>21</v>
      </c>
      <c r="H4" s="3" t="s">
        <v>18</v>
      </c>
      <c r="I4" s="3">
        <v>2</v>
      </c>
      <c r="J4" s="3" t="s">
        <v>22</v>
      </c>
      <c r="K4" s="3" t="s">
        <v>17</v>
      </c>
      <c r="L4" s="3">
        <v>60</v>
      </c>
      <c r="M4" s="3" t="str">
        <f t="shared" si="0"/>
        <v>Old Age</v>
      </c>
      <c r="N4" s="3" t="s">
        <v>18</v>
      </c>
    </row>
    <row r="5" spans="1:14" x14ac:dyDescent="0.25">
      <c r="A5" s="3">
        <v>24381</v>
      </c>
      <c r="B5" s="3" t="s">
        <v>37</v>
      </c>
      <c r="C5" s="3" t="s">
        <v>39</v>
      </c>
      <c r="D5" s="4">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39</v>
      </c>
      <c r="D6" s="4">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38</v>
      </c>
      <c r="D7" s="4">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39</v>
      </c>
      <c r="D8" s="4">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39</v>
      </c>
      <c r="D9" s="4">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39</v>
      </c>
      <c r="D10" s="4">
        <v>20000</v>
      </c>
      <c r="E10" s="3">
        <v>2</v>
      </c>
      <c r="F10" s="3" t="s">
        <v>29</v>
      </c>
      <c r="G10" s="3" t="s">
        <v>20</v>
      </c>
      <c r="H10" s="3" t="s">
        <v>15</v>
      </c>
      <c r="I10" s="3">
        <v>2</v>
      </c>
      <c r="J10" s="3" t="s">
        <v>23</v>
      </c>
      <c r="K10" s="3" t="s">
        <v>24</v>
      </c>
      <c r="L10" s="3">
        <v>58</v>
      </c>
      <c r="M10" s="3" t="str">
        <f t="shared" si="0"/>
        <v>Old Age</v>
      </c>
      <c r="N10" s="3" t="s">
        <v>18</v>
      </c>
    </row>
    <row r="11" spans="1:14" x14ac:dyDescent="0.25">
      <c r="A11" s="3">
        <v>19280</v>
      </c>
      <c r="B11" s="3" t="s">
        <v>36</v>
      </c>
      <c r="C11" s="3" t="s">
        <v>39</v>
      </c>
      <c r="D11" s="4">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38</v>
      </c>
      <c r="D12" s="4">
        <v>30000</v>
      </c>
      <c r="E12" s="3">
        <v>3</v>
      </c>
      <c r="F12" s="3" t="s">
        <v>27</v>
      </c>
      <c r="G12" s="3" t="s">
        <v>14</v>
      </c>
      <c r="H12" s="3" t="s">
        <v>18</v>
      </c>
      <c r="I12" s="3">
        <v>2</v>
      </c>
      <c r="J12" s="3" t="s">
        <v>26</v>
      </c>
      <c r="K12" s="3" t="s">
        <v>24</v>
      </c>
      <c r="L12" s="3">
        <v>54</v>
      </c>
      <c r="M12" s="3" t="str">
        <f t="shared" si="0"/>
        <v>Old Age</v>
      </c>
      <c r="N12" s="3" t="s">
        <v>15</v>
      </c>
    </row>
    <row r="13" spans="1:14" x14ac:dyDescent="0.25">
      <c r="A13" s="3">
        <v>12697</v>
      </c>
      <c r="B13" s="3" t="s">
        <v>37</v>
      </c>
      <c r="C13" s="3" t="s">
        <v>38</v>
      </c>
      <c r="D13" s="4">
        <v>90000</v>
      </c>
      <c r="E13" s="3">
        <v>0</v>
      </c>
      <c r="F13" s="3" t="s">
        <v>13</v>
      </c>
      <c r="G13" s="3" t="s">
        <v>21</v>
      </c>
      <c r="H13" s="3" t="s">
        <v>18</v>
      </c>
      <c r="I13" s="3">
        <v>4</v>
      </c>
      <c r="J13" s="3" t="s">
        <v>46</v>
      </c>
      <c r="K13" s="3" t="s">
        <v>24</v>
      </c>
      <c r="L13" s="3">
        <v>36</v>
      </c>
      <c r="M13" s="3" t="str">
        <f t="shared" si="0"/>
        <v>Middle Age</v>
      </c>
      <c r="N13" s="3" t="s">
        <v>18</v>
      </c>
    </row>
    <row r="14" spans="1:14" x14ac:dyDescent="0.25">
      <c r="A14" s="3">
        <v>11434</v>
      </c>
      <c r="B14" s="3" t="s">
        <v>36</v>
      </c>
      <c r="C14" s="3" t="s">
        <v>39</v>
      </c>
      <c r="D14" s="4">
        <v>170000</v>
      </c>
      <c r="E14" s="3">
        <v>5</v>
      </c>
      <c r="F14" s="3" t="s">
        <v>19</v>
      </c>
      <c r="G14" s="3" t="s">
        <v>21</v>
      </c>
      <c r="H14" s="3" t="s">
        <v>15</v>
      </c>
      <c r="I14" s="3">
        <v>0</v>
      </c>
      <c r="J14" s="3" t="s">
        <v>16</v>
      </c>
      <c r="K14" s="3" t="s">
        <v>17</v>
      </c>
      <c r="L14" s="3">
        <v>55</v>
      </c>
      <c r="M14" s="3" t="str">
        <f t="shared" si="0"/>
        <v>Old Age</v>
      </c>
      <c r="N14" s="3" t="s">
        <v>18</v>
      </c>
    </row>
    <row r="15" spans="1:14" x14ac:dyDescent="0.25">
      <c r="A15" s="3">
        <v>25323</v>
      </c>
      <c r="B15" s="3" t="s">
        <v>36</v>
      </c>
      <c r="C15" s="3" t="s">
        <v>39</v>
      </c>
      <c r="D15" s="4">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39</v>
      </c>
      <c r="D16" s="4">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38</v>
      </c>
      <c r="D17" s="4">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39</v>
      </c>
      <c r="D18" s="4">
        <v>30000</v>
      </c>
      <c r="E18" s="3">
        <v>3</v>
      </c>
      <c r="F18" s="3" t="s">
        <v>19</v>
      </c>
      <c r="G18" s="3" t="s">
        <v>20</v>
      </c>
      <c r="H18" s="3" t="s">
        <v>18</v>
      </c>
      <c r="I18" s="3">
        <v>2</v>
      </c>
      <c r="J18" s="3" t="s">
        <v>26</v>
      </c>
      <c r="K18" s="3" t="s">
        <v>24</v>
      </c>
      <c r="L18" s="3">
        <v>59</v>
      </c>
      <c r="M18" s="3" t="str">
        <f t="shared" si="0"/>
        <v>Old Age</v>
      </c>
      <c r="N18" s="3" t="s">
        <v>15</v>
      </c>
    </row>
    <row r="19" spans="1:14" x14ac:dyDescent="0.25">
      <c r="A19" s="3">
        <v>12610</v>
      </c>
      <c r="B19" s="3" t="s">
        <v>36</v>
      </c>
      <c r="C19" s="3" t="s">
        <v>38</v>
      </c>
      <c r="D19" s="4">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39</v>
      </c>
      <c r="D20" s="4">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39</v>
      </c>
      <c r="D21" s="4">
        <v>20000</v>
      </c>
      <c r="E21" s="3">
        <v>2</v>
      </c>
      <c r="F21" s="3" t="s">
        <v>29</v>
      </c>
      <c r="G21" s="3" t="s">
        <v>20</v>
      </c>
      <c r="H21" s="3" t="s">
        <v>15</v>
      </c>
      <c r="I21" s="3">
        <v>2</v>
      </c>
      <c r="J21" s="3" t="s">
        <v>23</v>
      </c>
      <c r="K21" s="3" t="s">
        <v>24</v>
      </c>
      <c r="L21" s="3">
        <v>55</v>
      </c>
      <c r="M21" s="3" t="str">
        <f t="shared" si="0"/>
        <v>Old Age</v>
      </c>
      <c r="N21" s="3" t="s">
        <v>15</v>
      </c>
    </row>
    <row r="22" spans="1:14" x14ac:dyDescent="0.25">
      <c r="A22" s="3">
        <v>25598</v>
      </c>
      <c r="B22" s="3" t="s">
        <v>36</v>
      </c>
      <c r="C22" s="3" t="s">
        <v>38</v>
      </c>
      <c r="D22" s="4">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38</v>
      </c>
      <c r="D23" s="4">
        <v>80000</v>
      </c>
      <c r="E23" s="3">
        <v>0</v>
      </c>
      <c r="F23" s="3" t="s">
        <v>13</v>
      </c>
      <c r="G23" s="3" t="s">
        <v>21</v>
      </c>
      <c r="H23" s="3" t="s">
        <v>15</v>
      </c>
      <c r="I23" s="3">
        <v>4</v>
      </c>
      <c r="J23" s="3" t="s">
        <v>46</v>
      </c>
      <c r="K23" s="3" t="s">
        <v>24</v>
      </c>
      <c r="L23" s="3">
        <v>35</v>
      </c>
      <c r="M23" s="3" t="str">
        <f t="shared" si="0"/>
        <v>Middle Age</v>
      </c>
      <c r="N23" s="3" t="s">
        <v>18</v>
      </c>
    </row>
    <row r="24" spans="1:14" x14ac:dyDescent="0.25">
      <c r="A24" s="3">
        <v>19193</v>
      </c>
      <c r="B24" s="3" t="s">
        <v>37</v>
      </c>
      <c r="C24" s="3" t="s">
        <v>39</v>
      </c>
      <c r="D24" s="4">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38</v>
      </c>
      <c r="D25" s="4">
        <v>80000</v>
      </c>
      <c r="E25" s="3">
        <v>5</v>
      </c>
      <c r="F25" s="3" t="s">
        <v>27</v>
      </c>
      <c r="G25" s="3" t="s">
        <v>28</v>
      </c>
      <c r="H25" s="3" t="s">
        <v>18</v>
      </c>
      <c r="I25" s="3">
        <v>3</v>
      </c>
      <c r="J25" s="3" t="s">
        <v>23</v>
      </c>
      <c r="K25" s="3" t="s">
        <v>17</v>
      </c>
      <c r="L25" s="3">
        <v>56</v>
      </c>
      <c r="M25" s="3" t="str">
        <f t="shared" si="0"/>
        <v>Old Age</v>
      </c>
      <c r="N25" s="3" t="s">
        <v>18</v>
      </c>
    </row>
    <row r="26" spans="1:14" x14ac:dyDescent="0.25">
      <c r="A26" s="3">
        <v>27184</v>
      </c>
      <c r="B26" s="3" t="s">
        <v>37</v>
      </c>
      <c r="C26" s="3" t="s">
        <v>39</v>
      </c>
      <c r="D26" s="4">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39</v>
      </c>
      <c r="D27" s="4">
        <v>30000</v>
      </c>
      <c r="E27" s="3">
        <v>1</v>
      </c>
      <c r="F27" s="3" t="s">
        <v>13</v>
      </c>
      <c r="G27" s="3" t="s">
        <v>20</v>
      </c>
      <c r="H27" s="3" t="s">
        <v>15</v>
      </c>
      <c r="I27" s="3">
        <v>0</v>
      </c>
      <c r="J27" s="3" t="s">
        <v>16</v>
      </c>
      <c r="K27" s="3" t="s">
        <v>17</v>
      </c>
      <c r="L27" s="3">
        <v>63</v>
      </c>
      <c r="M27" s="3" t="str">
        <f t="shared" si="0"/>
        <v>Old Age</v>
      </c>
      <c r="N27" s="3" t="s">
        <v>18</v>
      </c>
    </row>
    <row r="28" spans="1:14" x14ac:dyDescent="0.25">
      <c r="A28" s="3">
        <v>17841</v>
      </c>
      <c r="B28" s="3" t="s">
        <v>37</v>
      </c>
      <c r="C28" s="3" t="s">
        <v>39</v>
      </c>
      <c r="D28" s="4">
        <v>30000</v>
      </c>
      <c r="E28" s="3">
        <v>0</v>
      </c>
      <c r="F28" s="3" t="s">
        <v>19</v>
      </c>
      <c r="G28" s="3" t="s">
        <v>20</v>
      </c>
      <c r="H28" s="3" t="s">
        <v>18</v>
      </c>
      <c r="I28" s="3">
        <v>1</v>
      </c>
      <c r="J28" s="3" t="s">
        <v>16</v>
      </c>
      <c r="K28" s="3" t="s">
        <v>17</v>
      </c>
      <c r="L28" s="3">
        <v>29</v>
      </c>
      <c r="M28" s="3" t="str">
        <f t="shared" si="0"/>
        <v>Youth</v>
      </c>
      <c r="N28" s="3" t="s">
        <v>15</v>
      </c>
    </row>
    <row r="29" spans="1:14" x14ac:dyDescent="0.25">
      <c r="A29" s="3">
        <v>18283</v>
      </c>
      <c r="B29" s="3" t="s">
        <v>37</v>
      </c>
      <c r="C29" s="3" t="s">
        <v>38</v>
      </c>
      <c r="D29" s="4">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39</v>
      </c>
      <c r="D30" s="4">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38</v>
      </c>
      <c r="D31" s="4">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38</v>
      </c>
      <c r="D32" s="4">
        <v>20000</v>
      </c>
      <c r="E32" s="3">
        <v>2</v>
      </c>
      <c r="F32" s="3" t="s">
        <v>19</v>
      </c>
      <c r="G32" s="3" t="s">
        <v>25</v>
      </c>
      <c r="H32" s="3" t="s">
        <v>15</v>
      </c>
      <c r="I32" s="3">
        <v>0</v>
      </c>
      <c r="J32" s="3" t="s">
        <v>16</v>
      </c>
      <c r="K32" s="3" t="s">
        <v>17</v>
      </c>
      <c r="L32" s="3">
        <v>63</v>
      </c>
      <c r="M32" s="3" t="str">
        <f t="shared" si="0"/>
        <v>Old Age</v>
      </c>
      <c r="N32" s="3" t="s">
        <v>18</v>
      </c>
    </row>
    <row r="33" spans="1:14" x14ac:dyDescent="0.25">
      <c r="A33" s="3">
        <v>22400</v>
      </c>
      <c r="B33" s="3" t="s">
        <v>36</v>
      </c>
      <c r="C33" s="3" t="s">
        <v>39</v>
      </c>
      <c r="D33" s="4">
        <v>10000</v>
      </c>
      <c r="E33" s="3">
        <v>0</v>
      </c>
      <c r="F33" s="3" t="s">
        <v>19</v>
      </c>
      <c r="G33" s="3" t="s">
        <v>25</v>
      </c>
      <c r="H33" s="3" t="s">
        <v>18</v>
      </c>
      <c r="I33" s="3">
        <v>1</v>
      </c>
      <c r="J33" s="3" t="s">
        <v>16</v>
      </c>
      <c r="K33" s="3" t="s">
        <v>24</v>
      </c>
      <c r="L33" s="3">
        <v>26</v>
      </c>
      <c r="M33" s="3" t="str">
        <f t="shared" si="0"/>
        <v>Youth</v>
      </c>
      <c r="N33" s="3" t="s">
        <v>15</v>
      </c>
    </row>
    <row r="34" spans="1:14" x14ac:dyDescent="0.25">
      <c r="A34" s="3">
        <v>20942</v>
      </c>
      <c r="B34" s="3" t="s">
        <v>37</v>
      </c>
      <c r="C34" s="3" t="s">
        <v>38</v>
      </c>
      <c r="D34" s="4">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39</v>
      </c>
      <c r="D35" s="4">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39</v>
      </c>
      <c r="D36" s="4">
        <v>90000</v>
      </c>
      <c r="E36" s="3">
        <v>5</v>
      </c>
      <c r="F36" s="3" t="s">
        <v>19</v>
      </c>
      <c r="G36" s="3" t="s">
        <v>21</v>
      </c>
      <c r="H36" s="3" t="s">
        <v>18</v>
      </c>
      <c r="I36" s="3">
        <v>2</v>
      </c>
      <c r="J36" s="3" t="s">
        <v>22</v>
      </c>
      <c r="K36" s="3" t="s">
        <v>17</v>
      </c>
      <c r="L36" s="3">
        <v>62</v>
      </c>
      <c r="M36" s="3" t="str">
        <f t="shared" si="0"/>
        <v>Old Age</v>
      </c>
      <c r="N36" s="3" t="s">
        <v>15</v>
      </c>
    </row>
    <row r="37" spans="1:14" x14ac:dyDescent="0.25">
      <c r="A37" s="3">
        <v>28380</v>
      </c>
      <c r="B37" s="3" t="s">
        <v>37</v>
      </c>
      <c r="C37" s="3" t="s">
        <v>38</v>
      </c>
      <c r="D37" s="4">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38</v>
      </c>
      <c r="D38" s="4">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38</v>
      </c>
      <c r="D39" s="4">
        <v>30000</v>
      </c>
      <c r="E39" s="3">
        <v>0</v>
      </c>
      <c r="F39" s="3" t="s">
        <v>19</v>
      </c>
      <c r="G39" s="3" t="s">
        <v>20</v>
      </c>
      <c r="H39" s="3" t="s">
        <v>18</v>
      </c>
      <c r="I39" s="3">
        <v>1</v>
      </c>
      <c r="J39" s="3" t="s">
        <v>22</v>
      </c>
      <c r="K39" s="3" t="s">
        <v>17</v>
      </c>
      <c r="L39" s="3">
        <v>30</v>
      </c>
      <c r="M39" s="3" t="str">
        <f t="shared" si="0"/>
        <v>Youth</v>
      </c>
      <c r="N39" s="3" t="s">
        <v>18</v>
      </c>
    </row>
    <row r="40" spans="1:14" x14ac:dyDescent="0.25">
      <c r="A40" s="3">
        <v>26863</v>
      </c>
      <c r="B40" s="3" t="s">
        <v>37</v>
      </c>
      <c r="C40" s="3" t="s">
        <v>39</v>
      </c>
      <c r="D40" s="4">
        <v>20000</v>
      </c>
      <c r="E40" s="3">
        <v>0</v>
      </c>
      <c r="F40" s="3" t="s">
        <v>27</v>
      </c>
      <c r="G40" s="3" t="s">
        <v>25</v>
      </c>
      <c r="H40" s="3" t="s">
        <v>18</v>
      </c>
      <c r="I40" s="3">
        <v>1</v>
      </c>
      <c r="J40" s="3" t="s">
        <v>22</v>
      </c>
      <c r="K40" s="3" t="s">
        <v>17</v>
      </c>
      <c r="L40" s="3">
        <v>28</v>
      </c>
      <c r="M40" s="3" t="str">
        <f t="shared" si="0"/>
        <v>Youth</v>
      </c>
      <c r="N40" s="3" t="s">
        <v>18</v>
      </c>
    </row>
    <row r="41" spans="1:14" x14ac:dyDescent="0.25">
      <c r="A41" s="3">
        <v>16259</v>
      </c>
      <c r="B41" s="3" t="s">
        <v>37</v>
      </c>
      <c r="C41" s="3" t="s">
        <v>38</v>
      </c>
      <c r="D41" s="4">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38</v>
      </c>
      <c r="D42" s="4">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38</v>
      </c>
      <c r="D43" s="4">
        <v>40000</v>
      </c>
      <c r="E43" s="3">
        <v>2</v>
      </c>
      <c r="F43" s="3" t="s">
        <v>13</v>
      </c>
      <c r="G43" s="3" t="s">
        <v>28</v>
      </c>
      <c r="H43" s="3" t="s">
        <v>15</v>
      </c>
      <c r="I43" s="3">
        <v>2</v>
      </c>
      <c r="J43" s="3" t="s">
        <v>23</v>
      </c>
      <c r="K43" s="3" t="s">
        <v>24</v>
      </c>
      <c r="L43" s="3">
        <v>65</v>
      </c>
      <c r="M43" s="3" t="str">
        <f t="shared" si="0"/>
        <v>Old Age</v>
      </c>
      <c r="N43" s="3" t="s">
        <v>15</v>
      </c>
    </row>
    <row r="44" spans="1:14" x14ac:dyDescent="0.25">
      <c r="A44" s="3">
        <v>17703</v>
      </c>
      <c r="B44" s="3" t="s">
        <v>36</v>
      </c>
      <c r="C44" s="3" t="s">
        <v>38</v>
      </c>
      <c r="D44" s="4">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38</v>
      </c>
      <c r="D45" s="4">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38</v>
      </c>
      <c r="D46" s="4">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38</v>
      </c>
      <c r="D47" s="4">
        <v>20000</v>
      </c>
      <c r="E47" s="3">
        <v>1</v>
      </c>
      <c r="F47" s="3" t="s">
        <v>13</v>
      </c>
      <c r="G47" s="3" t="s">
        <v>20</v>
      </c>
      <c r="H47" s="3" t="s">
        <v>15</v>
      </c>
      <c r="I47" s="3">
        <v>0</v>
      </c>
      <c r="J47" s="3" t="s">
        <v>16</v>
      </c>
      <c r="K47" s="3" t="s">
        <v>17</v>
      </c>
      <c r="L47" s="3">
        <v>66</v>
      </c>
      <c r="M47" s="3" t="str">
        <f t="shared" si="0"/>
        <v>Old Age</v>
      </c>
      <c r="N47" s="3" t="s">
        <v>15</v>
      </c>
    </row>
    <row r="48" spans="1:14" x14ac:dyDescent="0.25">
      <c r="A48" s="3">
        <v>24466</v>
      </c>
      <c r="B48" s="3" t="s">
        <v>36</v>
      </c>
      <c r="C48" s="3" t="s">
        <v>38</v>
      </c>
      <c r="D48" s="4">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38</v>
      </c>
      <c r="D49" s="4">
        <v>40000</v>
      </c>
      <c r="E49" s="3">
        <v>2</v>
      </c>
      <c r="F49" s="3" t="s">
        <v>19</v>
      </c>
      <c r="G49" s="3" t="s">
        <v>14</v>
      </c>
      <c r="H49" s="3" t="s">
        <v>15</v>
      </c>
      <c r="I49" s="3">
        <v>2</v>
      </c>
      <c r="J49" s="3" t="s">
        <v>23</v>
      </c>
      <c r="K49" s="3" t="s">
        <v>24</v>
      </c>
      <c r="L49" s="3">
        <v>52</v>
      </c>
      <c r="M49" s="3" t="str">
        <f t="shared" si="0"/>
        <v>Old Age</v>
      </c>
      <c r="N49" s="3" t="s">
        <v>15</v>
      </c>
    </row>
    <row r="50" spans="1:14" x14ac:dyDescent="0.25">
      <c r="A50" s="3">
        <v>19487</v>
      </c>
      <c r="B50" s="3" t="s">
        <v>36</v>
      </c>
      <c r="C50" s="3" t="s">
        <v>39</v>
      </c>
      <c r="D50" s="4">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39</v>
      </c>
      <c r="D51" s="4">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38</v>
      </c>
      <c r="D52" s="4">
        <v>30000</v>
      </c>
      <c r="E52" s="3">
        <v>0</v>
      </c>
      <c r="F52" s="3" t="s">
        <v>19</v>
      </c>
      <c r="G52" s="3" t="s">
        <v>20</v>
      </c>
      <c r="H52" s="3" t="s">
        <v>18</v>
      </c>
      <c r="I52" s="3">
        <v>1</v>
      </c>
      <c r="J52" s="3" t="s">
        <v>16</v>
      </c>
      <c r="K52" s="3" t="s">
        <v>17</v>
      </c>
      <c r="L52" s="3">
        <v>28</v>
      </c>
      <c r="M52" s="3" t="str">
        <f t="shared" si="0"/>
        <v>Youth</v>
      </c>
      <c r="N52" s="3" t="s">
        <v>18</v>
      </c>
    </row>
    <row r="53" spans="1:14" x14ac:dyDescent="0.25">
      <c r="A53" s="3">
        <v>20619</v>
      </c>
      <c r="B53" s="3" t="s">
        <v>37</v>
      </c>
      <c r="C53" s="3" t="s">
        <v>39</v>
      </c>
      <c r="D53" s="4">
        <v>80000</v>
      </c>
      <c r="E53" s="3">
        <v>0</v>
      </c>
      <c r="F53" s="3" t="s">
        <v>13</v>
      </c>
      <c r="G53" s="3" t="s">
        <v>21</v>
      </c>
      <c r="H53" s="3" t="s">
        <v>18</v>
      </c>
      <c r="I53" s="3">
        <v>4</v>
      </c>
      <c r="J53" s="3" t="s">
        <v>46</v>
      </c>
      <c r="K53" s="3" t="s">
        <v>24</v>
      </c>
      <c r="L53" s="3">
        <v>35</v>
      </c>
      <c r="M53" s="3" t="str">
        <f t="shared" si="0"/>
        <v>Middle Age</v>
      </c>
      <c r="N53" s="3" t="s">
        <v>18</v>
      </c>
    </row>
    <row r="54" spans="1:14" x14ac:dyDescent="0.25">
      <c r="A54" s="3">
        <v>12558</v>
      </c>
      <c r="B54" s="3" t="s">
        <v>36</v>
      </c>
      <c r="C54" s="3" t="s">
        <v>38</v>
      </c>
      <c r="D54" s="4">
        <v>20000</v>
      </c>
      <c r="E54" s="3">
        <v>1</v>
      </c>
      <c r="F54" s="3" t="s">
        <v>13</v>
      </c>
      <c r="G54" s="3" t="s">
        <v>20</v>
      </c>
      <c r="H54" s="3" t="s">
        <v>15</v>
      </c>
      <c r="I54" s="3">
        <v>0</v>
      </c>
      <c r="J54" s="3" t="s">
        <v>16</v>
      </c>
      <c r="K54" s="3" t="s">
        <v>17</v>
      </c>
      <c r="L54" s="3">
        <v>65</v>
      </c>
      <c r="M54" s="3" t="str">
        <f t="shared" si="0"/>
        <v>Old Age</v>
      </c>
      <c r="N54" s="3" t="s">
        <v>18</v>
      </c>
    </row>
    <row r="55" spans="1:14" x14ac:dyDescent="0.25">
      <c r="A55" s="3">
        <v>24871</v>
      </c>
      <c r="B55" s="3" t="s">
        <v>37</v>
      </c>
      <c r="C55" s="3" t="s">
        <v>38</v>
      </c>
      <c r="D55" s="4">
        <v>90000</v>
      </c>
      <c r="E55" s="3">
        <v>4</v>
      </c>
      <c r="F55" s="3" t="s">
        <v>27</v>
      </c>
      <c r="G55" s="3" t="s">
        <v>28</v>
      </c>
      <c r="H55" s="3" t="s">
        <v>18</v>
      </c>
      <c r="I55" s="3">
        <v>3</v>
      </c>
      <c r="J55" s="3" t="s">
        <v>23</v>
      </c>
      <c r="K55" s="3" t="s">
        <v>17</v>
      </c>
      <c r="L55" s="3">
        <v>56</v>
      </c>
      <c r="M55" s="3" t="str">
        <f t="shared" si="0"/>
        <v>Old Age</v>
      </c>
      <c r="N55" s="3" t="s">
        <v>18</v>
      </c>
    </row>
    <row r="56" spans="1:14" x14ac:dyDescent="0.25">
      <c r="A56" s="3">
        <v>17319</v>
      </c>
      <c r="B56" s="3" t="s">
        <v>37</v>
      </c>
      <c r="C56" s="3" t="s">
        <v>38</v>
      </c>
      <c r="D56" s="4">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39</v>
      </c>
      <c r="D57" s="4">
        <v>80000</v>
      </c>
      <c r="E57" s="3">
        <v>4</v>
      </c>
      <c r="F57" s="3" t="s">
        <v>27</v>
      </c>
      <c r="G57" s="3" t="s">
        <v>21</v>
      </c>
      <c r="H57" s="3" t="s">
        <v>15</v>
      </c>
      <c r="I57" s="3">
        <v>2</v>
      </c>
      <c r="J57" s="3" t="s">
        <v>46</v>
      </c>
      <c r="K57" s="3" t="s">
        <v>17</v>
      </c>
      <c r="L57" s="3">
        <v>54</v>
      </c>
      <c r="M57" s="3" t="str">
        <f t="shared" si="0"/>
        <v>Old Age</v>
      </c>
      <c r="N57" s="3" t="s">
        <v>18</v>
      </c>
    </row>
    <row r="58" spans="1:14" x14ac:dyDescent="0.25">
      <c r="A58" s="3">
        <v>12808</v>
      </c>
      <c r="B58" s="3" t="s">
        <v>36</v>
      </c>
      <c r="C58" s="3" t="s">
        <v>39</v>
      </c>
      <c r="D58" s="4">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39</v>
      </c>
      <c r="D59" s="4">
        <v>130000</v>
      </c>
      <c r="E59" s="3">
        <v>4</v>
      </c>
      <c r="F59" s="3" t="s">
        <v>19</v>
      </c>
      <c r="G59" s="3" t="s">
        <v>21</v>
      </c>
      <c r="H59" s="3" t="s">
        <v>18</v>
      </c>
      <c r="I59" s="3">
        <v>4</v>
      </c>
      <c r="J59" s="3" t="s">
        <v>23</v>
      </c>
      <c r="K59" s="3" t="s">
        <v>17</v>
      </c>
      <c r="L59" s="3">
        <v>61</v>
      </c>
      <c r="M59" s="3" t="str">
        <f t="shared" si="0"/>
        <v>Old Age</v>
      </c>
      <c r="N59" s="3" t="s">
        <v>15</v>
      </c>
    </row>
    <row r="60" spans="1:14" x14ac:dyDescent="0.25">
      <c r="A60" s="3">
        <v>25502</v>
      </c>
      <c r="B60" s="3" t="s">
        <v>36</v>
      </c>
      <c r="C60" s="3" t="s">
        <v>38</v>
      </c>
      <c r="D60" s="4">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39</v>
      </c>
      <c r="D61" s="4">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38</v>
      </c>
      <c r="D62" s="4">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38</v>
      </c>
      <c r="D63" s="4">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39</v>
      </c>
      <c r="D64" s="4">
        <v>40000</v>
      </c>
      <c r="E64" s="3">
        <v>2</v>
      </c>
      <c r="F64" s="3" t="s">
        <v>13</v>
      </c>
      <c r="G64" s="3" t="s">
        <v>28</v>
      </c>
      <c r="H64" s="3" t="s">
        <v>15</v>
      </c>
      <c r="I64" s="3">
        <v>1</v>
      </c>
      <c r="J64" s="3" t="s">
        <v>16</v>
      </c>
      <c r="K64" s="3" t="s">
        <v>24</v>
      </c>
      <c r="L64" s="3">
        <v>52</v>
      </c>
      <c r="M64" s="3" t="str">
        <f t="shared" si="0"/>
        <v>Old Age</v>
      </c>
      <c r="N64" s="3" t="s">
        <v>15</v>
      </c>
    </row>
    <row r="65" spans="1:14" x14ac:dyDescent="0.25">
      <c r="A65" s="3">
        <v>16185</v>
      </c>
      <c r="B65" s="3" t="s">
        <v>37</v>
      </c>
      <c r="C65" s="3" t="s">
        <v>39</v>
      </c>
      <c r="D65" s="4">
        <v>60000</v>
      </c>
      <c r="E65" s="3">
        <v>4</v>
      </c>
      <c r="F65" s="3" t="s">
        <v>13</v>
      </c>
      <c r="G65" s="3" t="s">
        <v>21</v>
      </c>
      <c r="H65" s="3" t="s">
        <v>15</v>
      </c>
      <c r="I65" s="3">
        <v>3</v>
      </c>
      <c r="J65" s="3" t="s">
        <v>46</v>
      </c>
      <c r="K65" s="3" t="s">
        <v>24</v>
      </c>
      <c r="L65" s="3">
        <v>41</v>
      </c>
      <c r="M65" s="3" t="str">
        <f t="shared" si="0"/>
        <v>Middle Age</v>
      </c>
      <c r="N65" s="3" t="s">
        <v>18</v>
      </c>
    </row>
    <row r="66" spans="1:14" x14ac:dyDescent="0.25">
      <c r="A66" s="3">
        <v>14927</v>
      </c>
      <c r="B66" s="3" t="s">
        <v>36</v>
      </c>
      <c r="C66" s="3" t="s">
        <v>38</v>
      </c>
      <c r="D66" s="4">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39</v>
      </c>
      <c r="D67" s="4">
        <v>30000</v>
      </c>
      <c r="E67" s="3">
        <v>2</v>
      </c>
      <c r="F67" s="3" t="s">
        <v>19</v>
      </c>
      <c r="G67" s="3" t="s">
        <v>20</v>
      </c>
      <c r="H67" s="3" t="s">
        <v>15</v>
      </c>
      <c r="I67" s="3">
        <v>2</v>
      </c>
      <c r="J67" s="3" t="s">
        <v>23</v>
      </c>
      <c r="K67" s="3" t="s">
        <v>24</v>
      </c>
      <c r="L67" s="3">
        <v>68</v>
      </c>
      <c r="M67" s="3" t="str">
        <f t="shared" ref="M67:M130" si="1">IF(L67&gt;51,"Old Age",IF(L67&gt;=31,"Middle Age",IF(L67&lt;31,"Youth","Invalid")))</f>
        <v>Old Age</v>
      </c>
      <c r="N67" s="3" t="s">
        <v>18</v>
      </c>
    </row>
    <row r="68" spans="1:14" x14ac:dyDescent="0.25">
      <c r="A68" s="3">
        <v>29355</v>
      </c>
      <c r="B68" s="3" t="s">
        <v>36</v>
      </c>
      <c r="C68" s="3" t="s">
        <v>38</v>
      </c>
      <c r="D68" s="4">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39</v>
      </c>
      <c r="D69" s="4">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38</v>
      </c>
      <c r="D70" s="4">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38</v>
      </c>
      <c r="D71" s="4">
        <v>10000</v>
      </c>
      <c r="E71" s="3">
        <v>0</v>
      </c>
      <c r="F71" s="3" t="s">
        <v>29</v>
      </c>
      <c r="G71" s="3" t="s">
        <v>25</v>
      </c>
      <c r="H71" s="3" t="s">
        <v>18</v>
      </c>
      <c r="I71" s="3">
        <v>2</v>
      </c>
      <c r="J71" s="3" t="s">
        <v>16</v>
      </c>
      <c r="K71" s="3" t="s">
        <v>17</v>
      </c>
      <c r="L71" s="3">
        <v>30</v>
      </c>
      <c r="M71" s="3" t="str">
        <f t="shared" si="1"/>
        <v>Youth</v>
      </c>
      <c r="N71" s="3" t="s">
        <v>18</v>
      </c>
    </row>
    <row r="72" spans="1:14" x14ac:dyDescent="0.25">
      <c r="A72" s="3">
        <v>14238</v>
      </c>
      <c r="B72" s="3" t="s">
        <v>36</v>
      </c>
      <c r="C72" s="3" t="s">
        <v>39</v>
      </c>
      <c r="D72" s="4">
        <v>120000</v>
      </c>
      <c r="E72" s="3">
        <v>0</v>
      </c>
      <c r="F72" s="3" t="s">
        <v>29</v>
      </c>
      <c r="G72" s="3" t="s">
        <v>21</v>
      </c>
      <c r="H72" s="3" t="s">
        <v>15</v>
      </c>
      <c r="I72" s="3">
        <v>4</v>
      </c>
      <c r="J72" s="3" t="s">
        <v>46</v>
      </c>
      <c r="K72" s="3" t="s">
        <v>24</v>
      </c>
      <c r="L72" s="3">
        <v>36</v>
      </c>
      <c r="M72" s="3" t="str">
        <f t="shared" si="1"/>
        <v>Middle Age</v>
      </c>
      <c r="N72" s="3" t="s">
        <v>15</v>
      </c>
    </row>
    <row r="73" spans="1:14" x14ac:dyDescent="0.25">
      <c r="A73" s="3">
        <v>16200</v>
      </c>
      <c r="B73" s="3" t="s">
        <v>37</v>
      </c>
      <c r="C73" s="3" t="s">
        <v>38</v>
      </c>
      <c r="D73" s="4">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38</v>
      </c>
      <c r="D74" s="4">
        <v>130000</v>
      </c>
      <c r="E74" s="3">
        <v>3</v>
      </c>
      <c r="F74" s="3" t="s">
        <v>27</v>
      </c>
      <c r="G74" s="3" t="s">
        <v>21</v>
      </c>
      <c r="H74" s="3" t="s">
        <v>15</v>
      </c>
      <c r="I74" s="3">
        <v>4</v>
      </c>
      <c r="J74" s="3" t="s">
        <v>16</v>
      </c>
      <c r="K74" s="3" t="s">
        <v>17</v>
      </c>
      <c r="L74" s="3">
        <v>52</v>
      </c>
      <c r="M74" s="3" t="str">
        <f t="shared" si="1"/>
        <v>Old Age</v>
      </c>
      <c r="N74" s="3" t="s">
        <v>18</v>
      </c>
    </row>
    <row r="75" spans="1:14" x14ac:dyDescent="0.25">
      <c r="A75" s="3">
        <v>26956</v>
      </c>
      <c r="B75" s="3" t="s">
        <v>37</v>
      </c>
      <c r="C75" s="3" t="s">
        <v>38</v>
      </c>
      <c r="D75" s="4">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38</v>
      </c>
      <c r="D76" s="4">
        <v>20000</v>
      </c>
      <c r="E76" s="3">
        <v>3</v>
      </c>
      <c r="F76" s="3" t="s">
        <v>27</v>
      </c>
      <c r="G76" s="3" t="s">
        <v>14</v>
      </c>
      <c r="H76" s="3" t="s">
        <v>18</v>
      </c>
      <c r="I76" s="3">
        <v>2</v>
      </c>
      <c r="J76" s="3" t="s">
        <v>26</v>
      </c>
      <c r="K76" s="3" t="s">
        <v>24</v>
      </c>
      <c r="L76" s="3">
        <v>62</v>
      </c>
      <c r="M76" s="3" t="str">
        <f t="shared" si="1"/>
        <v>Old Age</v>
      </c>
      <c r="N76" s="3" t="s">
        <v>18</v>
      </c>
    </row>
    <row r="77" spans="1:14" x14ac:dyDescent="0.25">
      <c r="A77" s="3">
        <v>12678</v>
      </c>
      <c r="B77" s="3" t="s">
        <v>37</v>
      </c>
      <c r="C77" s="3" t="s">
        <v>38</v>
      </c>
      <c r="D77" s="4">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38</v>
      </c>
      <c r="D78" s="4">
        <v>20000</v>
      </c>
      <c r="E78" s="3">
        <v>0</v>
      </c>
      <c r="F78" s="3" t="s">
        <v>29</v>
      </c>
      <c r="G78" s="3" t="s">
        <v>25</v>
      </c>
      <c r="H78" s="3" t="s">
        <v>18</v>
      </c>
      <c r="I78" s="3">
        <v>2</v>
      </c>
      <c r="J78" s="3" t="s">
        <v>26</v>
      </c>
      <c r="K78" s="3" t="s">
        <v>17</v>
      </c>
      <c r="L78" s="3">
        <v>26</v>
      </c>
      <c r="M78" s="3" t="str">
        <f t="shared" si="1"/>
        <v>Youth</v>
      </c>
      <c r="N78" s="3" t="s">
        <v>18</v>
      </c>
    </row>
    <row r="79" spans="1:14" x14ac:dyDescent="0.25">
      <c r="A79" s="3">
        <v>27969</v>
      </c>
      <c r="B79" s="3" t="s">
        <v>36</v>
      </c>
      <c r="C79" s="3" t="s">
        <v>39</v>
      </c>
      <c r="D79" s="4">
        <v>80000</v>
      </c>
      <c r="E79" s="3">
        <v>0</v>
      </c>
      <c r="F79" s="3" t="s">
        <v>13</v>
      </c>
      <c r="G79" s="3" t="s">
        <v>21</v>
      </c>
      <c r="H79" s="3" t="s">
        <v>15</v>
      </c>
      <c r="I79" s="3">
        <v>2</v>
      </c>
      <c r="J79" s="3" t="s">
        <v>46</v>
      </c>
      <c r="K79" s="3" t="s">
        <v>24</v>
      </c>
      <c r="L79" s="3">
        <v>29</v>
      </c>
      <c r="M79" s="3" t="str">
        <f t="shared" si="1"/>
        <v>Youth</v>
      </c>
      <c r="N79" s="3" t="s">
        <v>15</v>
      </c>
    </row>
    <row r="80" spans="1:14" x14ac:dyDescent="0.25">
      <c r="A80" s="3">
        <v>15752</v>
      </c>
      <c r="B80" s="3" t="s">
        <v>36</v>
      </c>
      <c r="C80" s="3" t="s">
        <v>39</v>
      </c>
      <c r="D80" s="4">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39</v>
      </c>
      <c r="D81" s="4">
        <v>40000</v>
      </c>
      <c r="E81" s="3">
        <v>2</v>
      </c>
      <c r="F81" s="3" t="s">
        <v>13</v>
      </c>
      <c r="G81" s="3" t="s">
        <v>28</v>
      </c>
      <c r="H81" s="3" t="s">
        <v>15</v>
      </c>
      <c r="I81" s="3">
        <v>2</v>
      </c>
      <c r="J81" s="3" t="s">
        <v>23</v>
      </c>
      <c r="K81" s="3" t="s">
        <v>24</v>
      </c>
      <c r="L81" s="3">
        <v>63</v>
      </c>
      <c r="M81" s="3" t="str">
        <f t="shared" si="1"/>
        <v>Old Age</v>
      </c>
      <c r="N81" s="3" t="s">
        <v>15</v>
      </c>
    </row>
    <row r="82" spans="1:14" x14ac:dyDescent="0.25">
      <c r="A82" s="3">
        <v>20828</v>
      </c>
      <c r="B82" s="3" t="s">
        <v>36</v>
      </c>
      <c r="C82" s="3" t="s">
        <v>38</v>
      </c>
      <c r="D82" s="4">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38</v>
      </c>
      <c r="D83" s="4">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39</v>
      </c>
      <c r="D84" s="4">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39</v>
      </c>
      <c r="D85" s="4">
        <v>20000</v>
      </c>
      <c r="E85" s="3">
        <v>0</v>
      </c>
      <c r="F85" s="3" t="s">
        <v>27</v>
      </c>
      <c r="G85" s="3" t="s">
        <v>25</v>
      </c>
      <c r="H85" s="3" t="s">
        <v>18</v>
      </c>
      <c r="I85" s="3">
        <v>1</v>
      </c>
      <c r="J85" s="3" t="s">
        <v>22</v>
      </c>
      <c r="K85" s="3" t="s">
        <v>17</v>
      </c>
      <c r="L85" s="3">
        <v>29</v>
      </c>
      <c r="M85" s="3" t="str">
        <f t="shared" si="1"/>
        <v>Youth</v>
      </c>
      <c r="N85" s="3" t="s">
        <v>18</v>
      </c>
    </row>
    <row r="86" spans="1:14" x14ac:dyDescent="0.25">
      <c r="A86" s="3">
        <v>24485</v>
      </c>
      <c r="B86" s="3" t="s">
        <v>37</v>
      </c>
      <c r="C86" s="3" t="s">
        <v>39</v>
      </c>
      <c r="D86" s="4">
        <v>40000</v>
      </c>
      <c r="E86" s="3">
        <v>2</v>
      </c>
      <c r="F86" s="3" t="s">
        <v>13</v>
      </c>
      <c r="G86" s="3" t="s">
        <v>28</v>
      </c>
      <c r="H86" s="3" t="s">
        <v>18</v>
      </c>
      <c r="I86" s="3">
        <v>1</v>
      </c>
      <c r="J86" s="3" t="s">
        <v>23</v>
      </c>
      <c r="K86" s="3" t="s">
        <v>24</v>
      </c>
      <c r="L86" s="3">
        <v>52</v>
      </c>
      <c r="M86" s="3" t="str">
        <f t="shared" si="1"/>
        <v>Old Age</v>
      </c>
      <c r="N86" s="3" t="s">
        <v>15</v>
      </c>
    </row>
    <row r="87" spans="1:14" x14ac:dyDescent="0.25">
      <c r="A87" s="3">
        <v>16514</v>
      </c>
      <c r="B87" s="3" t="s">
        <v>37</v>
      </c>
      <c r="C87" s="3" t="s">
        <v>39</v>
      </c>
      <c r="D87" s="4">
        <v>10000</v>
      </c>
      <c r="E87" s="3">
        <v>0</v>
      </c>
      <c r="F87" s="3" t="s">
        <v>19</v>
      </c>
      <c r="G87" s="3" t="s">
        <v>25</v>
      </c>
      <c r="H87" s="3" t="s">
        <v>15</v>
      </c>
      <c r="I87" s="3">
        <v>1</v>
      </c>
      <c r="J87" s="3" t="s">
        <v>26</v>
      </c>
      <c r="K87" s="3" t="s">
        <v>24</v>
      </c>
      <c r="L87" s="3">
        <v>26</v>
      </c>
      <c r="M87" s="3" t="str">
        <f t="shared" si="1"/>
        <v>Youth</v>
      </c>
      <c r="N87" s="3" t="s">
        <v>15</v>
      </c>
    </row>
    <row r="88" spans="1:14" x14ac:dyDescent="0.25">
      <c r="A88" s="3">
        <v>17191</v>
      </c>
      <c r="B88" s="3" t="s">
        <v>37</v>
      </c>
      <c r="C88" s="3" t="s">
        <v>39</v>
      </c>
      <c r="D88" s="4">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39</v>
      </c>
      <c r="D89" s="4">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39</v>
      </c>
      <c r="D90" s="4">
        <v>30000</v>
      </c>
      <c r="E90" s="3">
        <v>0</v>
      </c>
      <c r="F90" s="3" t="s">
        <v>19</v>
      </c>
      <c r="G90" s="3" t="s">
        <v>20</v>
      </c>
      <c r="H90" s="3" t="s">
        <v>18</v>
      </c>
      <c r="I90" s="3">
        <v>1</v>
      </c>
      <c r="J90" s="3" t="s">
        <v>22</v>
      </c>
      <c r="K90" s="3" t="s">
        <v>17</v>
      </c>
      <c r="L90" s="3">
        <v>29</v>
      </c>
      <c r="M90" s="3" t="str">
        <f t="shared" si="1"/>
        <v>Youth</v>
      </c>
      <c r="N90" s="3" t="s">
        <v>18</v>
      </c>
    </row>
    <row r="91" spans="1:14" x14ac:dyDescent="0.25">
      <c r="A91" s="3">
        <v>25458</v>
      </c>
      <c r="B91" s="3" t="s">
        <v>36</v>
      </c>
      <c r="C91" s="3" t="s">
        <v>39</v>
      </c>
      <c r="D91" s="4">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38</v>
      </c>
      <c r="D92" s="4">
        <v>30000</v>
      </c>
      <c r="E92" s="3">
        <v>0</v>
      </c>
      <c r="F92" s="3" t="s">
        <v>19</v>
      </c>
      <c r="G92" s="3" t="s">
        <v>20</v>
      </c>
      <c r="H92" s="3" t="s">
        <v>18</v>
      </c>
      <c r="I92" s="3">
        <v>1</v>
      </c>
      <c r="J92" s="3" t="s">
        <v>16</v>
      </c>
      <c r="K92" s="3" t="s">
        <v>17</v>
      </c>
      <c r="L92" s="3">
        <v>29</v>
      </c>
      <c r="M92" s="3" t="str">
        <f t="shared" si="1"/>
        <v>Youth</v>
      </c>
      <c r="N92" s="3" t="s">
        <v>15</v>
      </c>
    </row>
    <row r="93" spans="1:14" x14ac:dyDescent="0.25">
      <c r="A93" s="3">
        <v>28436</v>
      </c>
      <c r="B93" s="3" t="s">
        <v>37</v>
      </c>
      <c r="C93" s="3" t="s">
        <v>39</v>
      </c>
      <c r="D93" s="4">
        <v>30000</v>
      </c>
      <c r="E93" s="3">
        <v>0</v>
      </c>
      <c r="F93" s="3" t="s">
        <v>19</v>
      </c>
      <c r="G93" s="3" t="s">
        <v>20</v>
      </c>
      <c r="H93" s="3" t="s">
        <v>18</v>
      </c>
      <c r="I93" s="3">
        <v>1</v>
      </c>
      <c r="J93" s="3" t="s">
        <v>16</v>
      </c>
      <c r="K93" s="3" t="s">
        <v>17</v>
      </c>
      <c r="L93" s="3">
        <v>30</v>
      </c>
      <c r="M93" s="3" t="str">
        <f t="shared" si="1"/>
        <v>Youth</v>
      </c>
      <c r="N93" s="3" t="s">
        <v>15</v>
      </c>
    </row>
    <row r="94" spans="1:14" x14ac:dyDescent="0.25">
      <c r="A94" s="3">
        <v>19562</v>
      </c>
      <c r="B94" s="3" t="s">
        <v>37</v>
      </c>
      <c r="C94" s="3" t="s">
        <v>38</v>
      </c>
      <c r="D94" s="4">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38</v>
      </c>
      <c r="D95" s="4">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38</v>
      </c>
      <c r="D96" s="4">
        <v>30000</v>
      </c>
      <c r="E96" s="3">
        <v>3</v>
      </c>
      <c r="F96" s="3" t="s">
        <v>27</v>
      </c>
      <c r="G96" s="3" t="s">
        <v>14</v>
      </c>
      <c r="H96" s="3" t="s">
        <v>15</v>
      </c>
      <c r="I96" s="3">
        <v>2</v>
      </c>
      <c r="J96" s="3" t="s">
        <v>23</v>
      </c>
      <c r="K96" s="3" t="s">
        <v>24</v>
      </c>
      <c r="L96" s="3">
        <v>55</v>
      </c>
      <c r="M96" s="3" t="str">
        <f t="shared" si="1"/>
        <v>Old Age</v>
      </c>
      <c r="N96" s="3" t="s">
        <v>18</v>
      </c>
    </row>
    <row r="97" spans="1:14" x14ac:dyDescent="0.25">
      <c r="A97" s="3">
        <v>17197</v>
      </c>
      <c r="B97" s="3" t="s">
        <v>37</v>
      </c>
      <c r="C97" s="3" t="s">
        <v>38</v>
      </c>
      <c r="D97" s="4">
        <v>90000</v>
      </c>
      <c r="E97" s="3">
        <v>5</v>
      </c>
      <c r="F97" s="3" t="s">
        <v>19</v>
      </c>
      <c r="G97" s="3" t="s">
        <v>21</v>
      </c>
      <c r="H97" s="3" t="s">
        <v>15</v>
      </c>
      <c r="I97" s="3">
        <v>2</v>
      </c>
      <c r="J97" s="3" t="s">
        <v>46</v>
      </c>
      <c r="K97" s="3" t="s">
        <v>17</v>
      </c>
      <c r="L97" s="3">
        <v>62</v>
      </c>
      <c r="M97" s="3" t="str">
        <f t="shared" si="1"/>
        <v>Old Age</v>
      </c>
      <c r="N97" s="3" t="s">
        <v>18</v>
      </c>
    </row>
    <row r="98" spans="1:14" x14ac:dyDescent="0.25">
      <c r="A98" s="3">
        <v>12507</v>
      </c>
      <c r="B98" s="3" t="s">
        <v>36</v>
      </c>
      <c r="C98" s="3" t="s">
        <v>39</v>
      </c>
      <c r="D98" s="4">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39</v>
      </c>
      <c r="D99" s="4">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39</v>
      </c>
      <c r="D100" s="4">
        <v>40000</v>
      </c>
      <c r="E100" s="3">
        <v>0</v>
      </c>
      <c r="F100" s="3" t="s">
        <v>31</v>
      </c>
      <c r="G100" s="3" t="s">
        <v>20</v>
      </c>
      <c r="H100" s="3" t="s">
        <v>15</v>
      </c>
      <c r="I100" s="3">
        <v>0</v>
      </c>
      <c r="J100" s="3" t="s">
        <v>16</v>
      </c>
      <c r="K100" s="3" t="s">
        <v>17</v>
      </c>
      <c r="L100" s="3">
        <v>25</v>
      </c>
      <c r="M100" s="3" t="str">
        <f t="shared" si="1"/>
        <v>Youth</v>
      </c>
      <c r="N100" s="3" t="s">
        <v>15</v>
      </c>
    </row>
    <row r="101" spans="1:14" x14ac:dyDescent="0.25">
      <c r="A101" s="3">
        <v>26852</v>
      </c>
      <c r="B101" s="3" t="s">
        <v>36</v>
      </c>
      <c r="C101" s="3" t="s">
        <v>38</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39</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39</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39</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39</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38</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38</v>
      </c>
      <c r="D107" s="4">
        <v>30000</v>
      </c>
      <c r="E107" s="3">
        <v>0</v>
      </c>
      <c r="F107" s="3" t="s">
        <v>19</v>
      </c>
      <c r="G107" s="3" t="s">
        <v>20</v>
      </c>
      <c r="H107" s="3" t="s">
        <v>18</v>
      </c>
      <c r="I107" s="3">
        <v>1</v>
      </c>
      <c r="J107" s="3" t="s">
        <v>22</v>
      </c>
      <c r="K107" s="3" t="s">
        <v>17</v>
      </c>
      <c r="L107" s="3">
        <v>30</v>
      </c>
      <c r="M107" s="3" t="str">
        <f t="shared" si="1"/>
        <v>Youth</v>
      </c>
      <c r="N107" s="3" t="s">
        <v>18</v>
      </c>
    </row>
    <row r="108" spans="1:14" x14ac:dyDescent="0.25">
      <c r="A108" s="3">
        <v>20430</v>
      </c>
      <c r="B108" s="3" t="s">
        <v>36</v>
      </c>
      <c r="C108" s="3" t="s">
        <v>39</v>
      </c>
      <c r="D108" s="4">
        <v>70000</v>
      </c>
      <c r="E108" s="3">
        <v>2</v>
      </c>
      <c r="F108" s="3" t="s">
        <v>19</v>
      </c>
      <c r="G108" s="3" t="s">
        <v>14</v>
      </c>
      <c r="H108" s="3" t="s">
        <v>15</v>
      </c>
      <c r="I108" s="3">
        <v>2</v>
      </c>
      <c r="J108" s="3" t="s">
        <v>23</v>
      </c>
      <c r="K108" s="3" t="s">
        <v>24</v>
      </c>
      <c r="L108" s="3">
        <v>52</v>
      </c>
      <c r="M108" s="3" t="str">
        <f t="shared" si="1"/>
        <v>Old Age</v>
      </c>
      <c r="N108" s="3" t="s">
        <v>15</v>
      </c>
    </row>
    <row r="109" spans="1:14" x14ac:dyDescent="0.25">
      <c r="A109" s="3">
        <v>27494</v>
      </c>
      <c r="B109" s="3" t="s">
        <v>37</v>
      </c>
      <c r="C109" s="3" t="s">
        <v>38</v>
      </c>
      <c r="D109" s="4">
        <v>40000</v>
      </c>
      <c r="E109" s="3">
        <v>2</v>
      </c>
      <c r="F109" s="3" t="s">
        <v>19</v>
      </c>
      <c r="G109" s="3" t="s">
        <v>14</v>
      </c>
      <c r="H109" s="3" t="s">
        <v>18</v>
      </c>
      <c r="I109" s="3">
        <v>2</v>
      </c>
      <c r="J109" s="3" t="s">
        <v>26</v>
      </c>
      <c r="K109" s="3" t="s">
        <v>24</v>
      </c>
      <c r="L109" s="3">
        <v>53</v>
      </c>
      <c r="M109" s="3" t="str">
        <f t="shared" si="1"/>
        <v>Old Age</v>
      </c>
      <c r="N109" s="3" t="s">
        <v>15</v>
      </c>
    </row>
    <row r="110" spans="1:14" x14ac:dyDescent="0.25">
      <c r="A110" s="3">
        <v>26829</v>
      </c>
      <c r="B110" s="3" t="s">
        <v>36</v>
      </c>
      <c r="C110" s="3" t="s">
        <v>38</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39</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38</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38</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38</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38</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39</v>
      </c>
      <c r="D116" s="4">
        <v>20000</v>
      </c>
      <c r="E116" s="3">
        <v>0</v>
      </c>
      <c r="F116" s="3" t="s">
        <v>13</v>
      </c>
      <c r="G116" s="3" t="s">
        <v>20</v>
      </c>
      <c r="H116" s="3" t="s">
        <v>15</v>
      </c>
      <c r="I116" s="3">
        <v>0</v>
      </c>
      <c r="J116" s="3" t="s">
        <v>16</v>
      </c>
      <c r="K116" s="3" t="s">
        <v>24</v>
      </c>
      <c r="L116" s="3">
        <v>26</v>
      </c>
      <c r="M116" s="3" t="str">
        <f t="shared" si="1"/>
        <v>Youth</v>
      </c>
      <c r="N116" s="3" t="s">
        <v>15</v>
      </c>
    </row>
    <row r="117" spans="1:14" x14ac:dyDescent="0.25">
      <c r="A117" s="3">
        <v>24140</v>
      </c>
      <c r="B117" s="3" t="s">
        <v>37</v>
      </c>
      <c r="C117" s="3" t="s">
        <v>39</v>
      </c>
      <c r="D117" s="4">
        <v>10000</v>
      </c>
      <c r="E117" s="3">
        <v>0</v>
      </c>
      <c r="F117" s="3" t="s">
        <v>31</v>
      </c>
      <c r="G117" s="3" t="s">
        <v>25</v>
      </c>
      <c r="H117" s="3" t="s">
        <v>18</v>
      </c>
      <c r="I117" s="3">
        <v>0</v>
      </c>
      <c r="J117" s="3" t="s">
        <v>16</v>
      </c>
      <c r="K117" s="3" t="s">
        <v>17</v>
      </c>
      <c r="L117" s="3">
        <v>30</v>
      </c>
      <c r="M117" s="3" t="str">
        <f t="shared" si="1"/>
        <v>Youth</v>
      </c>
      <c r="N117" s="3" t="s">
        <v>15</v>
      </c>
    </row>
    <row r="118" spans="1:14" x14ac:dyDescent="0.25">
      <c r="A118" s="3">
        <v>22496</v>
      </c>
      <c r="B118" s="3" t="s">
        <v>36</v>
      </c>
      <c r="C118" s="3" t="s">
        <v>38</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38</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39</v>
      </c>
      <c r="D120" s="4">
        <v>80000</v>
      </c>
      <c r="E120" s="3">
        <v>5</v>
      </c>
      <c r="F120" s="3" t="s">
        <v>13</v>
      </c>
      <c r="G120" s="3" t="s">
        <v>28</v>
      </c>
      <c r="H120" s="3" t="s">
        <v>15</v>
      </c>
      <c r="I120" s="3">
        <v>2</v>
      </c>
      <c r="J120" s="3" t="s">
        <v>22</v>
      </c>
      <c r="K120" s="3" t="s">
        <v>17</v>
      </c>
      <c r="L120" s="3">
        <v>62</v>
      </c>
      <c r="M120" s="3" t="str">
        <f t="shared" si="1"/>
        <v>Old Age</v>
      </c>
      <c r="N120" s="3" t="s">
        <v>18</v>
      </c>
    </row>
    <row r="121" spans="1:14" x14ac:dyDescent="0.25">
      <c r="A121" s="3">
        <v>12871</v>
      </c>
      <c r="B121" s="3" t="s">
        <v>37</v>
      </c>
      <c r="C121" s="3" t="s">
        <v>38</v>
      </c>
      <c r="D121" s="4">
        <v>30000</v>
      </c>
      <c r="E121" s="3">
        <v>0</v>
      </c>
      <c r="F121" s="3" t="s">
        <v>19</v>
      </c>
      <c r="G121" s="3" t="s">
        <v>20</v>
      </c>
      <c r="H121" s="3" t="s">
        <v>18</v>
      </c>
      <c r="I121" s="3">
        <v>1</v>
      </c>
      <c r="J121" s="3" t="s">
        <v>22</v>
      </c>
      <c r="K121" s="3" t="s">
        <v>17</v>
      </c>
      <c r="L121" s="3">
        <v>29</v>
      </c>
      <c r="M121" s="3" t="str">
        <f t="shared" si="1"/>
        <v>Youth</v>
      </c>
      <c r="N121" s="3" t="s">
        <v>18</v>
      </c>
    </row>
    <row r="122" spans="1:14" x14ac:dyDescent="0.25">
      <c r="A122" s="3">
        <v>22988</v>
      </c>
      <c r="B122" s="3" t="s">
        <v>36</v>
      </c>
      <c r="C122" s="3" t="s">
        <v>38</v>
      </c>
      <c r="D122" s="4">
        <v>40000</v>
      </c>
      <c r="E122" s="3">
        <v>2</v>
      </c>
      <c r="F122" s="3" t="s">
        <v>13</v>
      </c>
      <c r="G122" s="3" t="s">
        <v>28</v>
      </c>
      <c r="H122" s="3" t="s">
        <v>15</v>
      </c>
      <c r="I122" s="3">
        <v>2</v>
      </c>
      <c r="J122" s="3" t="s">
        <v>23</v>
      </c>
      <c r="K122" s="3" t="s">
        <v>24</v>
      </c>
      <c r="L122" s="3">
        <v>66</v>
      </c>
      <c r="M122" s="3" t="str">
        <f t="shared" si="1"/>
        <v>Old Age</v>
      </c>
      <c r="N122" s="3" t="s">
        <v>15</v>
      </c>
    </row>
    <row r="123" spans="1:14" x14ac:dyDescent="0.25">
      <c r="A123" s="3">
        <v>15922</v>
      </c>
      <c r="B123" s="3" t="s">
        <v>36</v>
      </c>
      <c r="C123" s="3" t="s">
        <v>39</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38</v>
      </c>
      <c r="D124" s="4">
        <v>80000</v>
      </c>
      <c r="E124" s="3">
        <v>0</v>
      </c>
      <c r="F124" s="3" t="s">
        <v>13</v>
      </c>
      <c r="G124" s="3" t="s">
        <v>21</v>
      </c>
      <c r="H124" s="3" t="s">
        <v>18</v>
      </c>
      <c r="I124" s="3">
        <v>3</v>
      </c>
      <c r="J124" s="3" t="s">
        <v>46</v>
      </c>
      <c r="K124" s="3" t="s">
        <v>24</v>
      </c>
      <c r="L124" s="3">
        <v>31</v>
      </c>
      <c r="M124" s="3" t="str">
        <f t="shared" si="1"/>
        <v>Middle Age</v>
      </c>
      <c r="N124" s="3" t="s">
        <v>18</v>
      </c>
    </row>
    <row r="125" spans="1:14" x14ac:dyDescent="0.25">
      <c r="A125" s="3">
        <v>23627</v>
      </c>
      <c r="B125" s="3" t="s">
        <v>37</v>
      </c>
      <c r="C125" s="3" t="s">
        <v>38</v>
      </c>
      <c r="D125" s="4">
        <v>100000</v>
      </c>
      <c r="E125" s="3">
        <v>3</v>
      </c>
      <c r="F125" s="3" t="s">
        <v>19</v>
      </c>
      <c r="G125" s="3" t="s">
        <v>28</v>
      </c>
      <c r="H125" s="3" t="s">
        <v>18</v>
      </c>
      <c r="I125" s="3">
        <v>4</v>
      </c>
      <c r="J125" s="3" t="s">
        <v>23</v>
      </c>
      <c r="K125" s="3" t="s">
        <v>17</v>
      </c>
      <c r="L125" s="3">
        <v>56</v>
      </c>
      <c r="M125" s="3" t="str">
        <f t="shared" si="1"/>
        <v>Old Age</v>
      </c>
      <c r="N125" s="3" t="s">
        <v>18</v>
      </c>
    </row>
    <row r="126" spans="1:14" x14ac:dyDescent="0.25">
      <c r="A126" s="3">
        <v>27775</v>
      </c>
      <c r="B126" s="3" t="s">
        <v>37</v>
      </c>
      <c r="C126" s="3" t="s">
        <v>38</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39</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39</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39</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39</v>
      </c>
      <c r="D130" s="4">
        <v>10000</v>
      </c>
      <c r="E130" s="3">
        <v>2</v>
      </c>
      <c r="F130" s="3" t="s">
        <v>19</v>
      </c>
      <c r="G130" s="3" t="s">
        <v>25</v>
      </c>
      <c r="H130" s="3" t="s">
        <v>15</v>
      </c>
      <c r="I130" s="3">
        <v>1</v>
      </c>
      <c r="J130" s="3" t="s">
        <v>16</v>
      </c>
      <c r="K130" s="3" t="s">
        <v>17</v>
      </c>
      <c r="L130" s="3">
        <v>52</v>
      </c>
      <c r="M130" s="3" t="str">
        <f t="shared" si="1"/>
        <v>Old Age</v>
      </c>
      <c r="N130" s="3" t="s">
        <v>15</v>
      </c>
    </row>
    <row r="131" spans="1:14" x14ac:dyDescent="0.25">
      <c r="A131" s="3">
        <v>26818</v>
      </c>
      <c r="B131" s="3" t="s">
        <v>37</v>
      </c>
      <c r="C131" s="3" t="s">
        <v>39</v>
      </c>
      <c r="D131" s="4">
        <v>10000</v>
      </c>
      <c r="E131" s="3">
        <v>3</v>
      </c>
      <c r="F131" s="3" t="s">
        <v>27</v>
      </c>
      <c r="G131" s="3" t="s">
        <v>25</v>
      </c>
      <c r="H131" s="3" t="s">
        <v>15</v>
      </c>
      <c r="I131" s="3">
        <v>1</v>
      </c>
      <c r="J131" s="3" t="s">
        <v>16</v>
      </c>
      <c r="K131" s="3" t="s">
        <v>17</v>
      </c>
      <c r="L131" s="3">
        <v>39</v>
      </c>
      <c r="M131" s="3" t="str">
        <f t="shared" ref="M131:M194" si="2">IF(L131&gt;51,"Old Age",IF(L131&gt;=31,"Middle Age",IF(L131&lt;31,"Youth","Invalid")))</f>
        <v>Middle Age</v>
      </c>
      <c r="N131" s="3" t="s">
        <v>15</v>
      </c>
    </row>
    <row r="132" spans="1:14" x14ac:dyDescent="0.25">
      <c r="A132" s="3">
        <v>12993</v>
      </c>
      <c r="B132" s="3" t="s">
        <v>36</v>
      </c>
      <c r="C132" s="3" t="s">
        <v>39</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39</v>
      </c>
      <c r="D133" s="4">
        <v>90000</v>
      </c>
      <c r="E133" s="3">
        <v>4</v>
      </c>
      <c r="F133" s="3" t="s">
        <v>27</v>
      </c>
      <c r="G133" s="3" t="s">
        <v>28</v>
      </c>
      <c r="H133" s="3" t="s">
        <v>15</v>
      </c>
      <c r="I133" s="3">
        <v>3</v>
      </c>
      <c r="J133" s="3" t="s">
        <v>23</v>
      </c>
      <c r="K133" s="3" t="s">
        <v>17</v>
      </c>
      <c r="L133" s="3">
        <v>56</v>
      </c>
      <c r="M133" s="3" t="str">
        <f t="shared" si="2"/>
        <v>Old Age</v>
      </c>
      <c r="N133" s="3" t="s">
        <v>15</v>
      </c>
    </row>
    <row r="134" spans="1:14" x14ac:dyDescent="0.25">
      <c r="A134" s="3">
        <v>19477</v>
      </c>
      <c r="B134" s="3" t="s">
        <v>36</v>
      </c>
      <c r="C134" s="3" t="s">
        <v>39</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39</v>
      </c>
      <c r="D135" s="4">
        <v>40000</v>
      </c>
      <c r="E135" s="3">
        <v>2</v>
      </c>
      <c r="F135" s="3" t="s">
        <v>13</v>
      </c>
      <c r="G135" s="3" t="s">
        <v>28</v>
      </c>
      <c r="H135" s="3" t="s">
        <v>15</v>
      </c>
      <c r="I135" s="3">
        <v>2</v>
      </c>
      <c r="J135" s="3" t="s">
        <v>23</v>
      </c>
      <c r="K135" s="3" t="s">
        <v>24</v>
      </c>
      <c r="L135" s="3">
        <v>65</v>
      </c>
      <c r="M135" s="3" t="str">
        <f t="shared" si="2"/>
        <v>Old Age</v>
      </c>
      <c r="N135" s="3" t="s">
        <v>15</v>
      </c>
    </row>
    <row r="136" spans="1:14" x14ac:dyDescent="0.25">
      <c r="A136" s="3">
        <v>21094</v>
      </c>
      <c r="B136" s="3" t="s">
        <v>37</v>
      </c>
      <c r="C136" s="3" t="s">
        <v>38</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39</v>
      </c>
      <c r="D137" s="4">
        <v>10000</v>
      </c>
      <c r="E137" s="3">
        <v>2</v>
      </c>
      <c r="F137" s="3" t="s">
        <v>19</v>
      </c>
      <c r="G137" s="3" t="s">
        <v>25</v>
      </c>
      <c r="H137" s="3" t="s">
        <v>15</v>
      </c>
      <c r="I137" s="3">
        <v>1</v>
      </c>
      <c r="J137" s="3" t="s">
        <v>22</v>
      </c>
      <c r="K137" s="3" t="s">
        <v>17</v>
      </c>
      <c r="L137" s="3">
        <v>52</v>
      </c>
      <c r="M137" s="3" t="str">
        <f t="shared" si="2"/>
        <v>Old Age</v>
      </c>
      <c r="N137" s="3" t="s">
        <v>18</v>
      </c>
    </row>
    <row r="138" spans="1:14" x14ac:dyDescent="0.25">
      <c r="A138" s="3">
        <v>28683</v>
      </c>
      <c r="B138" s="3" t="s">
        <v>37</v>
      </c>
      <c r="C138" s="3" t="s">
        <v>38</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39</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38</v>
      </c>
      <c r="D140" s="4">
        <v>20000</v>
      </c>
      <c r="E140" s="3">
        <v>2</v>
      </c>
      <c r="F140" s="3" t="s">
        <v>29</v>
      </c>
      <c r="G140" s="3" t="s">
        <v>20</v>
      </c>
      <c r="H140" s="3" t="s">
        <v>15</v>
      </c>
      <c r="I140" s="3">
        <v>2</v>
      </c>
      <c r="J140" s="3" t="s">
        <v>23</v>
      </c>
      <c r="K140" s="3" t="s">
        <v>24</v>
      </c>
      <c r="L140" s="3">
        <v>55</v>
      </c>
      <c r="M140" s="3" t="str">
        <f t="shared" si="2"/>
        <v>Old Age</v>
      </c>
      <c r="N140" s="3" t="s">
        <v>15</v>
      </c>
    </row>
    <row r="141" spans="1:14" x14ac:dyDescent="0.25">
      <c r="A141" s="3">
        <v>26547</v>
      </c>
      <c r="B141" s="3" t="s">
        <v>37</v>
      </c>
      <c r="C141" s="3" t="s">
        <v>38</v>
      </c>
      <c r="D141" s="4">
        <v>30000</v>
      </c>
      <c r="E141" s="3">
        <v>2</v>
      </c>
      <c r="F141" s="3" t="s">
        <v>19</v>
      </c>
      <c r="G141" s="3" t="s">
        <v>20</v>
      </c>
      <c r="H141" s="3" t="s">
        <v>18</v>
      </c>
      <c r="I141" s="3">
        <v>2</v>
      </c>
      <c r="J141" s="3" t="s">
        <v>23</v>
      </c>
      <c r="K141" s="3" t="s">
        <v>24</v>
      </c>
      <c r="L141" s="3">
        <v>60</v>
      </c>
      <c r="M141" s="3" t="str">
        <f t="shared" si="2"/>
        <v>Old Age</v>
      </c>
      <c r="N141" s="3" t="s">
        <v>15</v>
      </c>
    </row>
    <row r="142" spans="1:14" x14ac:dyDescent="0.25">
      <c r="A142" s="3">
        <v>22500</v>
      </c>
      <c r="B142" s="3" t="s">
        <v>37</v>
      </c>
      <c r="C142" s="3" t="s">
        <v>39</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38</v>
      </c>
      <c r="D143" s="4">
        <v>10000</v>
      </c>
      <c r="E143" s="3">
        <v>0</v>
      </c>
      <c r="F143" s="3" t="s">
        <v>19</v>
      </c>
      <c r="G143" s="3" t="s">
        <v>25</v>
      </c>
      <c r="H143" s="3" t="s">
        <v>18</v>
      </c>
      <c r="I143" s="3">
        <v>1</v>
      </c>
      <c r="J143" s="3" t="s">
        <v>16</v>
      </c>
      <c r="K143" s="3" t="s">
        <v>24</v>
      </c>
      <c r="L143" s="3">
        <v>26</v>
      </c>
      <c r="M143" s="3" t="str">
        <f t="shared" si="2"/>
        <v>Youth</v>
      </c>
      <c r="N143" s="3" t="s">
        <v>15</v>
      </c>
    </row>
    <row r="144" spans="1:14" x14ac:dyDescent="0.25">
      <c r="A144" s="3">
        <v>14832</v>
      </c>
      <c r="B144" s="3" t="s">
        <v>36</v>
      </c>
      <c r="C144" s="3" t="s">
        <v>39</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38</v>
      </c>
      <c r="D145" s="4">
        <v>80000</v>
      </c>
      <c r="E145" s="3">
        <v>0</v>
      </c>
      <c r="F145" s="3" t="s">
        <v>13</v>
      </c>
      <c r="G145" s="3" t="s">
        <v>21</v>
      </c>
      <c r="H145" s="3" t="s">
        <v>15</v>
      </c>
      <c r="I145" s="3">
        <v>3</v>
      </c>
      <c r="J145" s="3" t="s">
        <v>46</v>
      </c>
      <c r="K145" s="3" t="s">
        <v>24</v>
      </c>
      <c r="L145" s="3">
        <v>32</v>
      </c>
      <c r="M145" s="3" t="str">
        <f t="shared" si="2"/>
        <v>Middle Age</v>
      </c>
      <c r="N145" s="3" t="s">
        <v>18</v>
      </c>
    </row>
    <row r="146" spans="1:14" x14ac:dyDescent="0.25">
      <c r="A146" s="3">
        <v>20877</v>
      </c>
      <c r="B146" s="3" t="s">
        <v>37</v>
      </c>
      <c r="C146" s="3" t="s">
        <v>39</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38</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39</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38</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39</v>
      </c>
      <c r="D150" s="4">
        <v>20000</v>
      </c>
      <c r="E150" s="3">
        <v>4</v>
      </c>
      <c r="F150" s="3" t="s">
        <v>27</v>
      </c>
      <c r="G150" s="3" t="s">
        <v>14</v>
      </c>
      <c r="H150" s="3" t="s">
        <v>15</v>
      </c>
      <c r="I150" s="3">
        <v>2</v>
      </c>
      <c r="J150" s="3" t="s">
        <v>23</v>
      </c>
      <c r="K150" s="3" t="s">
        <v>24</v>
      </c>
      <c r="L150" s="3">
        <v>60</v>
      </c>
      <c r="M150" s="3" t="str">
        <f t="shared" si="2"/>
        <v>Old Age</v>
      </c>
      <c r="N150" s="3" t="s">
        <v>18</v>
      </c>
    </row>
    <row r="151" spans="1:14" x14ac:dyDescent="0.25">
      <c r="A151" s="3">
        <v>12728</v>
      </c>
      <c r="B151" s="3" t="s">
        <v>37</v>
      </c>
      <c r="C151" s="3" t="s">
        <v>39</v>
      </c>
      <c r="D151" s="4">
        <v>30000</v>
      </c>
      <c r="E151" s="3">
        <v>0</v>
      </c>
      <c r="F151" s="3" t="s">
        <v>19</v>
      </c>
      <c r="G151" s="3" t="s">
        <v>20</v>
      </c>
      <c r="H151" s="3" t="s">
        <v>18</v>
      </c>
      <c r="I151" s="3">
        <v>1</v>
      </c>
      <c r="J151" s="3" t="s">
        <v>26</v>
      </c>
      <c r="K151" s="3" t="s">
        <v>17</v>
      </c>
      <c r="L151" s="3">
        <v>27</v>
      </c>
      <c r="M151" s="3" t="str">
        <f t="shared" si="2"/>
        <v>Youth</v>
      </c>
      <c r="N151" s="3" t="s">
        <v>18</v>
      </c>
    </row>
    <row r="152" spans="1:14" x14ac:dyDescent="0.25">
      <c r="A152" s="3">
        <v>26154</v>
      </c>
      <c r="B152" s="3" t="s">
        <v>36</v>
      </c>
      <c r="C152" s="3" t="s">
        <v>39</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39</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38</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39</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39</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38</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38</v>
      </c>
      <c r="D158" s="4">
        <v>130000</v>
      </c>
      <c r="E158" s="3">
        <v>5</v>
      </c>
      <c r="F158" s="3" t="s">
        <v>19</v>
      </c>
      <c r="G158" s="3" t="s">
        <v>21</v>
      </c>
      <c r="H158" s="3" t="s">
        <v>15</v>
      </c>
      <c r="I158" s="3">
        <v>4</v>
      </c>
      <c r="J158" s="3" t="s">
        <v>16</v>
      </c>
      <c r="K158" s="3" t="s">
        <v>17</v>
      </c>
      <c r="L158" s="3">
        <v>59</v>
      </c>
      <c r="M158" s="3" t="str">
        <f t="shared" si="2"/>
        <v>Old Age</v>
      </c>
      <c r="N158" s="3" t="s">
        <v>18</v>
      </c>
    </row>
    <row r="159" spans="1:14" x14ac:dyDescent="0.25">
      <c r="A159" s="3">
        <v>23979</v>
      </c>
      <c r="B159" s="3" t="s">
        <v>37</v>
      </c>
      <c r="C159" s="3" t="s">
        <v>39</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38</v>
      </c>
      <c r="D160" s="4">
        <v>20000</v>
      </c>
      <c r="E160" s="3">
        <v>2</v>
      </c>
      <c r="F160" s="3" t="s">
        <v>19</v>
      </c>
      <c r="G160" s="3" t="s">
        <v>25</v>
      </c>
      <c r="H160" s="3" t="s">
        <v>18</v>
      </c>
      <c r="I160" s="3">
        <v>1</v>
      </c>
      <c r="J160" s="3" t="s">
        <v>16</v>
      </c>
      <c r="K160" s="3" t="s">
        <v>17</v>
      </c>
      <c r="L160" s="3">
        <v>54</v>
      </c>
      <c r="M160" s="3" t="str">
        <f t="shared" si="2"/>
        <v>Old Age</v>
      </c>
      <c r="N160" s="3" t="s">
        <v>15</v>
      </c>
    </row>
    <row r="161" spans="1:14" x14ac:dyDescent="0.25">
      <c r="A161" s="3">
        <v>20797</v>
      </c>
      <c r="B161" s="3" t="s">
        <v>36</v>
      </c>
      <c r="C161" s="3" t="s">
        <v>38</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38</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38</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38</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39</v>
      </c>
      <c r="D165" s="4">
        <v>40000</v>
      </c>
      <c r="E165" s="3">
        <v>2</v>
      </c>
      <c r="F165" s="3" t="s">
        <v>19</v>
      </c>
      <c r="G165" s="3" t="s">
        <v>14</v>
      </c>
      <c r="H165" s="3" t="s">
        <v>18</v>
      </c>
      <c r="I165" s="3">
        <v>2</v>
      </c>
      <c r="J165" s="3" t="s">
        <v>26</v>
      </c>
      <c r="K165" s="3" t="s">
        <v>24</v>
      </c>
      <c r="L165" s="3">
        <v>52</v>
      </c>
      <c r="M165" s="3" t="str">
        <f t="shared" si="2"/>
        <v>Old Age</v>
      </c>
      <c r="N165" s="3" t="s">
        <v>18</v>
      </c>
    </row>
    <row r="166" spans="1:14" x14ac:dyDescent="0.25">
      <c r="A166" s="3">
        <v>22402</v>
      </c>
      <c r="B166" s="3" t="s">
        <v>36</v>
      </c>
      <c r="C166" s="3" t="s">
        <v>39</v>
      </c>
      <c r="D166" s="4">
        <v>10000</v>
      </c>
      <c r="E166" s="3">
        <v>0</v>
      </c>
      <c r="F166" s="3" t="s">
        <v>19</v>
      </c>
      <c r="G166" s="3" t="s">
        <v>25</v>
      </c>
      <c r="H166" s="3" t="s">
        <v>15</v>
      </c>
      <c r="I166" s="3">
        <v>1</v>
      </c>
      <c r="J166" s="3" t="s">
        <v>22</v>
      </c>
      <c r="K166" s="3" t="s">
        <v>24</v>
      </c>
      <c r="L166" s="3">
        <v>25</v>
      </c>
      <c r="M166" s="3" t="str">
        <f t="shared" si="2"/>
        <v>Youth</v>
      </c>
      <c r="N166" s="3" t="s">
        <v>15</v>
      </c>
    </row>
    <row r="167" spans="1:14" x14ac:dyDescent="0.25">
      <c r="A167" s="3">
        <v>15465</v>
      </c>
      <c r="B167" s="3" t="s">
        <v>36</v>
      </c>
      <c r="C167" s="3" t="s">
        <v>38</v>
      </c>
      <c r="D167" s="4">
        <v>10000</v>
      </c>
      <c r="E167" s="3">
        <v>0</v>
      </c>
      <c r="F167" s="3" t="s">
        <v>19</v>
      </c>
      <c r="G167" s="3" t="s">
        <v>25</v>
      </c>
      <c r="H167" s="3" t="s">
        <v>18</v>
      </c>
      <c r="I167" s="3">
        <v>1</v>
      </c>
      <c r="J167" s="3" t="s">
        <v>16</v>
      </c>
      <c r="K167" s="3" t="s">
        <v>24</v>
      </c>
      <c r="L167" s="3">
        <v>25</v>
      </c>
      <c r="M167" s="3" t="str">
        <f t="shared" si="2"/>
        <v>Youth</v>
      </c>
      <c r="N167" s="3" t="s">
        <v>18</v>
      </c>
    </row>
    <row r="168" spans="1:14" x14ac:dyDescent="0.25">
      <c r="A168" s="3">
        <v>26757</v>
      </c>
      <c r="B168" s="3" t="s">
        <v>37</v>
      </c>
      <c r="C168" s="3" t="s">
        <v>39</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39</v>
      </c>
      <c r="D169" s="4">
        <v>100000</v>
      </c>
      <c r="E169" s="3">
        <v>0</v>
      </c>
      <c r="F169" s="3" t="s">
        <v>27</v>
      </c>
      <c r="G169" s="3" t="s">
        <v>28</v>
      </c>
      <c r="H169" s="3" t="s">
        <v>15</v>
      </c>
      <c r="I169" s="3">
        <v>3</v>
      </c>
      <c r="J169" s="3" t="s">
        <v>46</v>
      </c>
      <c r="K169" s="3" t="s">
        <v>24</v>
      </c>
      <c r="L169" s="3">
        <v>35</v>
      </c>
      <c r="M169" s="3" t="str">
        <f t="shared" si="2"/>
        <v>Middle Age</v>
      </c>
      <c r="N169" s="3" t="s">
        <v>18</v>
      </c>
    </row>
    <row r="170" spans="1:14" x14ac:dyDescent="0.25">
      <c r="A170" s="3">
        <v>14058</v>
      </c>
      <c r="B170" s="3" t="s">
        <v>37</v>
      </c>
      <c r="C170" s="3" t="s">
        <v>39</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39</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38</v>
      </c>
      <c r="D172" s="4">
        <v>130000</v>
      </c>
      <c r="E172" s="3">
        <v>4</v>
      </c>
      <c r="F172" s="3" t="s">
        <v>19</v>
      </c>
      <c r="G172" s="3" t="s">
        <v>21</v>
      </c>
      <c r="H172" s="3" t="s">
        <v>15</v>
      </c>
      <c r="I172" s="3">
        <v>4</v>
      </c>
      <c r="J172" s="3" t="s">
        <v>23</v>
      </c>
      <c r="K172" s="3" t="s">
        <v>17</v>
      </c>
      <c r="L172" s="3">
        <v>61</v>
      </c>
      <c r="M172" s="3" t="str">
        <f t="shared" si="2"/>
        <v>Old Age</v>
      </c>
      <c r="N172" s="3" t="s">
        <v>15</v>
      </c>
    </row>
    <row r="173" spans="1:14" x14ac:dyDescent="0.25">
      <c r="A173" s="3">
        <v>18144</v>
      </c>
      <c r="B173" s="3" t="s">
        <v>36</v>
      </c>
      <c r="C173" s="3" t="s">
        <v>38</v>
      </c>
      <c r="D173" s="4">
        <v>80000</v>
      </c>
      <c r="E173" s="3">
        <v>5</v>
      </c>
      <c r="F173" s="3" t="s">
        <v>13</v>
      </c>
      <c r="G173" s="3" t="s">
        <v>28</v>
      </c>
      <c r="H173" s="3" t="s">
        <v>15</v>
      </c>
      <c r="I173" s="3">
        <v>2</v>
      </c>
      <c r="J173" s="3" t="s">
        <v>22</v>
      </c>
      <c r="K173" s="3" t="s">
        <v>17</v>
      </c>
      <c r="L173" s="3">
        <v>61</v>
      </c>
      <c r="M173" s="3" t="str">
        <f t="shared" si="2"/>
        <v>Old Age</v>
      </c>
      <c r="N173" s="3" t="s">
        <v>18</v>
      </c>
    </row>
    <row r="174" spans="1:14" x14ac:dyDescent="0.25">
      <c r="A174" s="3">
        <v>23963</v>
      </c>
      <c r="B174" s="3" t="s">
        <v>36</v>
      </c>
      <c r="C174" s="3" t="s">
        <v>39</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38</v>
      </c>
      <c r="D175" s="4">
        <v>10000</v>
      </c>
      <c r="E175" s="3">
        <v>0</v>
      </c>
      <c r="F175" s="3" t="s">
        <v>19</v>
      </c>
      <c r="G175" s="3" t="s">
        <v>25</v>
      </c>
      <c r="H175" s="3" t="s">
        <v>15</v>
      </c>
      <c r="I175" s="3">
        <v>1</v>
      </c>
      <c r="J175" s="3" t="s">
        <v>22</v>
      </c>
      <c r="K175" s="3" t="s">
        <v>24</v>
      </c>
      <c r="L175" s="3">
        <v>27</v>
      </c>
      <c r="M175" s="3" t="str">
        <f t="shared" si="2"/>
        <v>Youth</v>
      </c>
      <c r="N175" s="3" t="s">
        <v>18</v>
      </c>
    </row>
    <row r="176" spans="1:14" x14ac:dyDescent="0.25">
      <c r="A176" s="3">
        <v>19442</v>
      </c>
      <c r="B176" s="3" t="s">
        <v>37</v>
      </c>
      <c r="C176" s="3" t="s">
        <v>39</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38</v>
      </c>
      <c r="D177" s="4">
        <v>80000</v>
      </c>
      <c r="E177" s="3">
        <v>2</v>
      </c>
      <c r="F177" s="3" t="s">
        <v>19</v>
      </c>
      <c r="G177" s="3" t="s">
        <v>14</v>
      </c>
      <c r="H177" s="3" t="s">
        <v>15</v>
      </c>
      <c r="I177" s="3">
        <v>2</v>
      </c>
      <c r="J177" s="3" t="s">
        <v>23</v>
      </c>
      <c r="K177" s="3" t="s">
        <v>24</v>
      </c>
      <c r="L177" s="3">
        <v>52</v>
      </c>
      <c r="M177" s="3" t="str">
        <f t="shared" si="2"/>
        <v>Old Age</v>
      </c>
      <c r="N177" s="3" t="s">
        <v>15</v>
      </c>
    </row>
    <row r="178" spans="1:14" x14ac:dyDescent="0.25">
      <c r="A178" s="3">
        <v>12253</v>
      </c>
      <c r="B178" s="3" t="s">
        <v>37</v>
      </c>
      <c r="C178" s="3" t="s">
        <v>38</v>
      </c>
      <c r="D178" s="4">
        <v>20000</v>
      </c>
      <c r="E178" s="3">
        <v>0</v>
      </c>
      <c r="F178" s="3" t="s">
        <v>19</v>
      </c>
      <c r="G178" s="3" t="s">
        <v>25</v>
      </c>
      <c r="H178" s="3" t="s">
        <v>15</v>
      </c>
      <c r="I178" s="3">
        <v>0</v>
      </c>
      <c r="J178" s="3" t="s">
        <v>16</v>
      </c>
      <c r="K178" s="3" t="s">
        <v>24</v>
      </c>
      <c r="L178" s="3">
        <v>29</v>
      </c>
      <c r="M178" s="3" t="str">
        <f t="shared" si="2"/>
        <v>Youth</v>
      </c>
      <c r="N178" s="3" t="s">
        <v>15</v>
      </c>
    </row>
    <row r="179" spans="1:14" x14ac:dyDescent="0.25">
      <c r="A179" s="3">
        <v>27304</v>
      </c>
      <c r="B179" s="3" t="s">
        <v>37</v>
      </c>
      <c r="C179" s="3" t="s">
        <v>38</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39</v>
      </c>
      <c r="D180" s="4">
        <v>160000</v>
      </c>
      <c r="E180" s="3">
        <v>4</v>
      </c>
      <c r="F180" s="3" t="s">
        <v>19</v>
      </c>
      <c r="G180" s="3" t="s">
        <v>21</v>
      </c>
      <c r="H180" s="3" t="s">
        <v>18</v>
      </c>
      <c r="I180" s="3">
        <v>2</v>
      </c>
      <c r="J180" s="3" t="s">
        <v>46</v>
      </c>
      <c r="K180" s="3" t="s">
        <v>17</v>
      </c>
      <c r="L180" s="3">
        <v>55</v>
      </c>
      <c r="M180" s="3" t="str">
        <f t="shared" si="2"/>
        <v>Old Age</v>
      </c>
      <c r="N180" s="3" t="s">
        <v>15</v>
      </c>
    </row>
    <row r="181" spans="1:14" x14ac:dyDescent="0.25">
      <c r="A181" s="3">
        <v>12212</v>
      </c>
      <c r="B181" s="3" t="s">
        <v>36</v>
      </c>
      <c r="C181" s="3" t="s">
        <v>38</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39</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38</v>
      </c>
      <c r="D183" s="4">
        <v>30000</v>
      </c>
      <c r="E183" s="3">
        <v>3</v>
      </c>
      <c r="F183" s="3" t="s">
        <v>19</v>
      </c>
      <c r="G183" s="3" t="s">
        <v>20</v>
      </c>
      <c r="H183" s="3" t="s">
        <v>18</v>
      </c>
      <c r="I183" s="3">
        <v>2</v>
      </c>
      <c r="J183" s="3" t="s">
        <v>26</v>
      </c>
      <c r="K183" s="3" t="s">
        <v>24</v>
      </c>
      <c r="L183" s="3">
        <v>55</v>
      </c>
      <c r="M183" s="3" t="str">
        <f t="shared" si="2"/>
        <v>Old Age</v>
      </c>
      <c r="N183" s="3" t="s">
        <v>15</v>
      </c>
    </row>
    <row r="184" spans="1:14" x14ac:dyDescent="0.25">
      <c r="A184" s="3">
        <v>19445</v>
      </c>
      <c r="B184" s="3" t="s">
        <v>36</v>
      </c>
      <c r="C184" s="3" t="s">
        <v>38</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39</v>
      </c>
      <c r="D185" s="4">
        <v>40000</v>
      </c>
      <c r="E185" s="3">
        <v>2</v>
      </c>
      <c r="F185" s="3" t="s">
        <v>13</v>
      </c>
      <c r="G185" s="3" t="s">
        <v>28</v>
      </c>
      <c r="H185" s="3" t="s">
        <v>15</v>
      </c>
      <c r="I185" s="3">
        <v>2</v>
      </c>
      <c r="J185" s="3" t="s">
        <v>23</v>
      </c>
      <c r="K185" s="3" t="s">
        <v>24</v>
      </c>
      <c r="L185" s="3">
        <v>66</v>
      </c>
      <c r="M185" s="3" t="str">
        <f t="shared" si="2"/>
        <v>Old Age</v>
      </c>
      <c r="N185" s="3" t="s">
        <v>15</v>
      </c>
    </row>
    <row r="186" spans="1:14" x14ac:dyDescent="0.25">
      <c r="A186" s="3">
        <v>28918</v>
      </c>
      <c r="B186" s="3" t="s">
        <v>36</v>
      </c>
      <c r="C186" s="3" t="s">
        <v>38</v>
      </c>
      <c r="D186" s="4">
        <v>130000</v>
      </c>
      <c r="E186" s="3">
        <v>4</v>
      </c>
      <c r="F186" s="3" t="s">
        <v>27</v>
      </c>
      <c r="G186" s="3" t="s">
        <v>28</v>
      </c>
      <c r="H186" s="3" t="s">
        <v>18</v>
      </c>
      <c r="I186" s="3">
        <v>4</v>
      </c>
      <c r="J186" s="3" t="s">
        <v>46</v>
      </c>
      <c r="K186" s="3" t="s">
        <v>17</v>
      </c>
      <c r="L186" s="3">
        <v>58</v>
      </c>
      <c r="M186" s="3" t="str">
        <f t="shared" si="2"/>
        <v>Old Age</v>
      </c>
      <c r="N186" s="3" t="s">
        <v>18</v>
      </c>
    </row>
    <row r="187" spans="1:14" x14ac:dyDescent="0.25">
      <c r="A187" s="3">
        <v>15799</v>
      </c>
      <c r="B187" s="3" t="s">
        <v>36</v>
      </c>
      <c r="C187" s="3" t="s">
        <v>38</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38</v>
      </c>
      <c r="D188" s="4">
        <v>30000</v>
      </c>
      <c r="E188" s="3">
        <v>3</v>
      </c>
      <c r="F188" s="3" t="s">
        <v>27</v>
      </c>
      <c r="G188" s="3" t="s">
        <v>14</v>
      </c>
      <c r="H188" s="3" t="s">
        <v>18</v>
      </c>
      <c r="I188" s="3">
        <v>2</v>
      </c>
      <c r="J188" s="3" t="s">
        <v>26</v>
      </c>
      <c r="K188" s="3" t="s">
        <v>24</v>
      </c>
      <c r="L188" s="3">
        <v>56</v>
      </c>
      <c r="M188" s="3" t="str">
        <f t="shared" si="2"/>
        <v>Old Age</v>
      </c>
      <c r="N188" s="3" t="s">
        <v>15</v>
      </c>
    </row>
    <row r="189" spans="1:14" x14ac:dyDescent="0.25">
      <c r="A189" s="3">
        <v>18151</v>
      </c>
      <c r="B189" s="3" t="s">
        <v>37</v>
      </c>
      <c r="C189" s="3" t="s">
        <v>39</v>
      </c>
      <c r="D189" s="4">
        <v>80000</v>
      </c>
      <c r="E189" s="3">
        <v>5</v>
      </c>
      <c r="F189" s="3" t="s">
        <v>19</v>
      </c>
      <c r="G189" s="3" t="s">
        <v>21</v>
      </c>
      <c r="H189" s="3" t="s">
        <v>18</v>
      </c>
      <c r="I189" s="3">
        <v>2</v>
      </c>
      <c r="J189" s="3" t="s">
        <v>46</v>
      </c>
      <c r="K189" s="3" t="s">
        <v>17</v>
      </c>
      <c r="L189" s="3">
        <v>59</v>
      </c>
      <c r="M189" s="3" t="str">
        <f t="shared" si="2"/>
        <v>Old Age</v>
      </c>
      <c r="N189" s="3" t="s">
        <v>18</v>
      </c>
    </row>
    <row r="190" spans="1:14" x14ac:dyDescent="0.25">
      <c r="A190" s="3">
        <v>20606</v>
      </c>
      <c r="B190" s="3" t="s">
        <v>36</v>
      </c>
      <c r="C190" s="3" t="s">
        <v>38</v>
      </c>
      <c r="D190" s="4">
        <v>70000</v>
      </c>
      <c r="E190" s="3">
        <v>0</v>
      </c>
      <c r="F190" s="3" t="s">
        <v>13</v>
      </c>
      <c r="G190" s="3" t="s">
        <v>21</v>
      </c>
      <c r="H190" s="3" t="s">
        <v>15</v>
      </c>
      <c r="I190" s="3">
        <v>4</v>
      </c>
      <c r="J190" s="3" t="s">
        <v>46</v>
      </c>
      <c r="K190" s="3" t="s">
        <v>24</v>
      </c>
      <c r="L190" s="3">
        <v>32</v>
      </c>
      <c r="M190" s="3" t="str">
        <f t="shared" si="2"/>
        <v>Middle Age</v>
      </c>
      <c r="N190" s="3" t="s">
        <v>15</v>
      </c>
    </row>
    <row r="191" spans="1:14" x14ac:dyDescent="0.25">
      <c r="A191" s="3">
        <v>19482</v>
      </c>
      <c r="B191" s="3" t="s">
        <v>36</v>
      </c>
      <c r="C191" s="3" t="s">
        <v>39</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39</v>
      </c>
      <c r="D192" s="4">
        <v>30000</v>
      </c>
      <c r="E192" s="3">
        <v>3</v>
      </c>
      <c r="F192" s="3" t="s">
        <v>27</v>
      </c>
      <c r="G192" s="3" t="s">
        <v>14</v>
      </c>
      <c r="H192" s="3" t="s">
        <v>15</v>
      </c>
      <c r="I192" s="3">
        <v>2</v>
      </c>
      <c r="J192" s="3" t="s">
        <v>23</v>
      </c>
      <c r="K192" s="3" t="s">
        <v>24</v>
      </c>
      <c r="L192" s="3">
        <v>55</v>
      </c>
      <c r="M192" s="3" t="str">
        <f t="shared" si="2"/>
        <v>Old Age</v>
      </c>
      <c r="N192" s="3" t="s">
        <v>18</v>
      </c>
    </row>
    <row r="193" spans="1:14" x14ac:dyDescent="0.25">
      <c r="A193" s="3">
        <v>26944</v>
      </c>
      <c r="B193" s="3" t="s">
        <v>37</v>
      </c>
      <c r="C193" s="3" t="s">
        <v>39</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38</v>
      </c>
      <c r="D194" s="4">
        <v>80000</v>
      </c>
      <c r="E194" s="3">
        <v>5</v>
      </c>
      <c r="F194" s="3" t="s">
        <v>13</v>
      </c>
      <c r="G194" s="3" t="s">
        <v>28</v>
      </c>
      <c r="H194" s="3" t="s">
        <v>15</v>
      </c>
      <c r="I194" s="3">
        <v>2</v>
      </c>
      <c r="J194" s="3" t="s">
        <v>46</v>
      </c>
      <c r="K194" s="3" t="s">
        <v>17</v>
      </c>
      <c r="L194" s="3">
        <v>62</v>
      </c>
      <c r="M194" s="3" t="str">
        <f t="shared" si="2"/>
        <v>Old Age</v>
      </c>
      <c r="N194" s="3" t="s">
        <v>18</v>
      </c>
    </row>
    <row r="195" spans="1:14" x14ac:dyDescent="0.25">
      <c r="A195" s="3">
        <v>26032</v>
      </c>
      <c r="B195" s="3" t="s">
        <v>36</v>
      </c>
      <c r="C195" s="3" t="s">
        <v>38</v>
      </c>
      <c r="D195" s="4">
        <v>70000</v>
      </c>
      <c r="E195" s="3">
        <v>5</v>
      </c>
      <c r="F195" s="3" t="s">
        <v>13</v>
      </c>
      <c r="G195" s="3" t="s">
        <v>21</v>
      </c>
      <c r="H195" s="3" t="s">
        <v>15</v>
      </c>
      <c r="I195" s="3">
        <v>4</v>
      </c>
      <c r="J195" s="3" t="s">
        <v>46</v>
      </c>
      <c r="K195" s="3" t="s">
        <v>24</v>
      </c>
      <c r="L195" s="3">
        <v>41</v>
      </c>
      <c r="M195" s="3" t="str">
        <f t="shared" ref="M195:M258" si="3">IF(L195&gt;51,"Old Age",IF(L195&gt;=31,"Middle Age",IF(L195&lt;31,"Youth","Invalid")))</f>
        <v>Middle Age</v>
      </c>
      <c r="N195" s="3" t="s">
        <v>18</v>
      </c>
    </row>
    <row r="196" spans="1:14" x14ac:dyDescent="0.25">
      <c r="A196" s="3">
        <v>17843</v>
      </c>
      <c r="B196" s="3" t="s">
        <v>37</v>
      </c>
      <c r="C196" s="3" t="s">
        <v>38</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39</v>
      </c>
      <c r="D197" s="4">
        <v>20000</v>
      </c>
      <c r="E197" s="3">
        <v>0</v>
      </c>
      <c r="F197" s="3" t="s">
        <v>13</v>
      </c>
      <c r="G197" s="3" t="s">
        <v>20</v>
      </c>
      <c r="H197" s="3" t="s">
        <v>15</v>
      </c>
      <c r="I197" s="3">
        <v>0</v>
      </c>
      <c r="J197" s="3" t="s">
        <v>16</v>
      </c>
      <c r="K197" s="3" t="s">
        <v>24</v>
      </c>
      <c r="L197" s="3">
        <v>25</v>
      </c>
      <c r="M197" s="3" t="str">
        <f t="shared" si="3"/>
        <v>Youth</v>
      </c>
      <c r="N197" s="3" t="s">
        <v>15</v>
      </c>
    </row>
    <row r="198" spans="1:14" x14ac:dyDescent="0.25">
      <c r="A198" s="3">
        <v>16209</v>
      </c>
      <c r="B198" s="3" t="s">
        <v>37</v>
      </c>
      <c r="C198" s="3" t="s">
        <v>38</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39</v>
      </c>
      <c r="D199" s="4">
        <v>60000</v>
      </c>
      <c r="E199" s="3">
        <v>2</v>
      </c>
      <c r="F199" s="3" t="s">
        <v>31</v>
      </c>
      <c r="G199" s="3" t="s">
        <v>28</v>
      </c>
      <c r="H199" s="3" t="s">
        <v>15</v>
      </c>
      <c r="I199" s="3">
        <v>1</v>
      </c>
      <c r="J199" s="3" t="s">
        <v>16</v>
      </c>
      <c r="K199" s="3" t="s">
        <v>24</v>
      </c>
      <c r="L199" s="3">
        <v>67</v>
      </c>
      <c r="M199" s="3" t="str">
        <f t="shared" si="3"/>
        <v>Old Age</v>
      </c>
      <c r="N199" s="3" t="s">
        <v>15</v>
      </c>
    </row>
    <row r="200" spans="1:14" x14ac:dyDescent="0.25">
      <c r="A200" s="3">
        <v>15214</v>
      </c>
      <c r="B200" s="3" t="s">
        <v>37</v>
      </c>
      <c r="C200" s="3" t="s">
        <v>38</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39</v>
      </c>
      <c r="D201" s="4">
        <v>80000</v>
      </c>
      <c r="E201" s="3">
        <v>0</v>
      </c>
      <c r="F201" s="3" t="s">
        <v>13</v>
      </c>
      <c r="G201" s="3" t="s">
        <v>21</v>
      </c>
      <c r="H201" s="3" t="s">
        <v>18</v>
      </c>
      <c r="I201" s="3">
        <v>3</v>
      </c>
      <c r="J201" s="3" t="s">
        <v>46</v>
      </c>
      <c r="K201" s="3" t="s">
        <v>24</v>
      </c>
      <c r="L201" s="3">
        <v>33</v>
      </c>
      <c r="M201" s="3" t="str">
        <f t="shared" si="3"/>
        <v>Middle Age</v>
      </c>
      <c r="N201" s="3" t="s">
        <v>15</v>
      </c>
    </row>
    <row r="202" spans="1:14" x14ac:dyDescent="0.25">
      <c r="A202" s="3">
        <v>24584</v>
      </c>
      <c r="B202" s="3" t="s">
        <v>37</v>
      </c>
      <c r="C202" s="3" t="s">
        <v>39</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39</v>
      </c>
      <c r="D203" s="4">
        <v>10000</v>
      </c>
      <c r="E203" s="3">
        <v>1</v>
      </c>
      <c r="F203" s="3" t="s">
        <v>27</v>
      </c>
      <c r="G203" s="3" t="s">
        <v>25</v>
      </c>
      <c r="H203" s="3" t="s">
        <v>15</v>
      </c>
      <c r="I203" s="3">
        <v>0</v>
      </c>
      <c r="J203" s="3" t="s">
        <v>22</v>
      </c>
      <c r="K203" s="3" t="s">
        <v>24</v>
      </c>
      <c r="L203" s="3">
        <v>27</v>
      </c>
      <c r="M203" s="3" t="str">
        <f t="shared" si="3"/>
        <v>Youth</v>
      </c>
      <c r="N203" s="3" t="s">
        <v>15</v>
      </c>
    </row>
    <row r="204" spans="1:14" x14ac:dyDescent="0.25">
      <c r="A204" s="3">
        <v>18626</v>
      </c>
      <c r="B204" s="3" t="s">
        <v>37</v>
      </c>
      <c r="C204" s="3" t="s">
        <v>39</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38</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38</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39</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39</v>
      </c>
      <c r="D208" s="4">
        <v>90000</v>
      </c>
      <c r="E208" s="3">
        <v>5</v>
      </c>
      <c r="F208" s="3" t="s">
        <v>19</v>
      </c>
      <c r="G208" s="3" t="s">
        <v>21</v>
      </c>
      <c r="H208" s="3" t="s">
        <v>18</v>
      </c>
      <c r="I208" s="3">
        <v>2</v>
      </c>
      <c r="J208" s="3" t="s">
        <v>46</v>
      </c>
      <c r="K208" s="3" t="s">
        <v>17</v>
      </c>
      <c r="L208" s="3">
        <v>62</v>
      </c>
      <c r="M208" s="3" t="str">
        <f t="shared" si="3"/>
        <v>Old Age</v>
      </c>
      <c r="N208" s="3" t="s">
        <v>18</v>
      </c>
    </row>
    <row r="209" spans="1:14" x14ac:dyDescent="0.25">
      <c r="A209" s="3">
        <v>28729</v>
      </c>
      <c r="B209" s="3" t="s">
        <v>37</v>
      </c>
      <c r="C209" s="3" t="s">
        <v>38</v>
      </c>
      <c r="D209" s="4">
        <v>20000</v>
      </c>
      <c r="E209" s="3">
        <v>0</v>
      </c>
      <c r="F209" s="3" t="s">
        <v>29</v>
      </c>
      <c r="G209" s="3" t="s">
        <v>25</v>
      </c>
      <c r="H209" s="3" t="s">
        <v>15</v>
      </c>
      <c r="I209" s="3">
        <v>2</v>
      </c>
      <c r="J209" s="3" t="s">
        <v>26</v>
      </c>
      <c r="K209" s="3" t="s">
        <v>17</v>
      </c>
      <c r="L209" s="3">
        <v>26</v>
      </c>
      <c r="M209" s="3" t="str">
        <f t="shared" si="3"/>
        <v>Youth</v>
      </c>
      <c r="N209" s="3" t="s">
        <v>15</v>
      </c>
    </row>
    <row r="210" spans="1:14" x14ac:dyDescent="0.25">
      <c r="A210" s="3">
        <v>22633</v>
      </c>
      <c r="B210" s="3" t="s">
        <v>37</v>
      </c>
      <c r="C210" s="3" t="s">
        <v>38</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38</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38</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38</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38</v>
      </c>
      <c r="D214" s="4">
        <v>30000</v>
      </c>
      <c r="E214" s="3">
        <v>0</v>
      </c>
      <c r="F214" s="3" t="s">
        <v>19</v>
      </c>
      <c r="G214" s="3" t="s">
        <v>20</v>
      </c>
      <c r="H214" s="3" t="s">
        <v>18</v>
      </c>
      <c r="I214" s="3">
        <v>1</v>
      </c>
      <c r="J214" s="3" t="s">
        <v>22</v>
      </c>
      <c r="K214" s="3" t="s">
        <v>17</v>
      </c>
      <c r="L214" s="3">
        <v>30</v>
      </c>
      <c r="M214" s="3" t="str">
        <f t="shared" si="3"/>
        <v>Youth</v>
      </c>
      <c r="N214" s="3" t="s">
        <v>18</v>
      </c>
    </row>
    <row r="215" spans="1:14" x14ac:dyDescent="0.25">
      <c r="A215" s="3">
        <v>11451</v>
      </c>
      <c r="B215" s="3" t="s">
        <v>37</v>
      </c>
      <c r="C215" s="3" t="s">
        <v>39</v>
      </c>
      <c r="D215" s="4">
        <v>70000</v>
      </c>
      <c r="E215" s="3">
        <v>0</v>
      </c>
      <c r="F215" s="3" t="s">
        <v>13</v>
      </c>
      <c r="G215" s="3" t="s">
        <v>21</v>
      </c>
      <c r="H215" s="3" t="s">
        <v>18</v>
      </c>
      <c r="I215" s="3">
        <v>4</v>
      </c>
      <c r="J215" s="3" t="s">
        <v>46</v>
      </c>
      <c r="K215" s="3" t="s">
        <v>24</v>
      </c>
      <c r="L215" s="3">
        <v>31</v>
      </c>
      <c r="M215" s="3" t="str">
        <f t="shared" si="3"/>
        <v>Middle Age</v>
      </c>
      <c r="N215" s="3" t="s">
        <v>15</v>
      </c>
    </row>
    <row r="216" spans="1:14" x14ac:dyDescent="0.25">
      <c r="A216" s="3">
        <v>25553</v>
      </c>
      <c r="B216" s="3" t="s">
        <v>36</v>
      </c>
      <c r="C216" s="3" t="s">
        <v>39</v>
      </c>
      <c r="D216" s="4">
        <v>30000</v>
      </c>
      <c r="E216" s="3">
        <v>1</v>
      </c>
      <c r="F216" s="3" t="s">
        <v>13</v>
      </c>
      <c r="G216" s="3" t="s">
        <v>20</v>
      </c>
      <c r="H216" s="3" t="s">
        <v>15</v>
      </c>
      <c r="I216" s="3">
        <v>0</v>
      </c>
      <c r="J216" s="3" t="s">
        <v>16</v>
      </c>
      <c r="K216" s="3" t="s">
        <v>17</v>
      </c>
      <c r="L216" s="3">
        <v>65</v>
      </c>
      <c r="M216" s="3" t="str">
        <f t="shared" si="3"/>
        <v>Old Age</v>
      </c>
      <c r="N216" s="3" t="s">
        <v>15</v>
      </c>
    </row>
    <row r="217" spans="1:14" x14ac:dyDescent="0.25">
      <c r="A217" s="3">
        <v>27951</v>
      </c>
      <c r="B217" s="3" t="s">
        <v>37</v>
      </c>
      <c r="C217" s="3" t="s">
        <v>39</v>
      </c>
      <c r="D217" s="4">
        <v>80000</v>
      </c>
      <c r="E217" s="3">
        <v>4</v>
      </c>
      <c r="F217" s="3" t="s">
        <v>19</v>
      </c>
      <c r="G217" s="3" t="s">
        <v>21</v>
      </c>
      <c r="H217" s="3" t="s">
        <v>18</v>
      </c>
      <c r="I217" s="3">
        <v>2</v>
      </c>
      <c r="J217" s="3" t="s">
        <v>22</v>
      </c>
      <c r="K217" s="3" t="s">
        <v>17</v>
      </c>
      <c r="L217" s="3">
        <v>54</v>
      </c>
      <c r="M217" s="3" t="str">
        <f t="shared" si="3"/>
        <v>Old Age</v>
      </c>
      <c r="N217" s="3" t="s">
        <v>15</v>
      </c>
    </row>
    <row r="218" spans="1:14" x14ac:dyDescent="0.25">
      <c r="A218" s="3">
        <v>25026</v>
      </c>
      <c r="B218" s="3" t="s">
        <v>36</v>
      </c>
      <c r="C218" s="3" t="s">
        <v>39</v>
      </c>
      <c r="D218" s="4">
        <v>20000</v>
      </c>
      <c r="E218" s="3">
        <v>2</v>
      </c>
      <c r="F218" s="3" t="s">
        <v>29</v>
      </c>
      <c r="G218" s="3" t="s">
        <v>20</v>
      </c>
      <c r="H218" s="3" t="s">
        <v>15</v>
      </c>
      <c r="I218" s="3">
        <v>3</v>
      </c>
      <c r="J218" s="3" t="s">
        <v>23</v>
      </c>
      <c r="K218" s="3" t="s">
        <v>24</v>
      </c>
      <c r="L218" s="3">
        <v>54</v>
      </c>
      <c r="M218" s="3" t="str">
        <f t="shared" si="3"/>
        <v>Old Age</v>
      </c>
      <c r="N218" s="3" t="s">
        <v>18</v>
      </c>
    </row>
    <row r="219" spans="1:14" x14ac:dyDescent="0.25">
      <c r="A219" s="3">
        <v>13673</v>
      </c>
      <c r="B219" s="3" t="s">
        <v>37</v>
      </c>
      <c r="C219" s="3" t="s">
        <v>38</v>
      </c>
      <c r="D219" s="4">
        <v>20000</v>
      </c>
      <c r="E219" s="3">
        <v>0</v>
      </c>
      <c r="F219" s="3" t="s">
        <v>29</v>
      </c>
      <c r="G219" s="3" t="s">
        <v>25</v>
      </c>
      <c r="H219" s="3" t="s">
        <v>18</v>
      </c>
      <c r="I219" s="3">
        <v>2</v>
      </c>
      <c r="J219" s="3" t="s">
        <v>16</v>
      </c>
      <c r="K219" s="3" t="s">
        <v>17</v>
      </c>
      <c r="L219" s="3">
        <v>25</v>
      </c>
      <c r="M219" s="3" t="str">
        <f t="shared" si="3"/>
        <v>Youth</v>
      </c>
      <c r="N219" s="3" t="s">
        <v>18</v>
      </c>
    </row>
    <row r="220" spans="1:14" x14ac:dyDescent="0.25">
      <c r="A220" s="3">
        <v>16043</v>
      </c>
      <c r="B220" s="3" t="s">
        <v>37</v>
      </c>
      <c r="C220" s="3" t="s">
        <v>39</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39</v>
      </c>
      <c r="D221" s="4">
        <v>10000</v>
      </c>
      <c r="E221" s="3">
        <v>0</v>
      </c>
      <c r="F221" s="3" t="s">
        <v>19</v>
      </c>
      <c r="G221" s="3" t="s">
        <v>25</v>
      </c>
      <c r="H221" s="3" t="s">
        <v>15</v>
      </c>
      <c r="I221" s="3">
        <v>1</v>
      </c>
      <c r="J221" s="3" t="s">
        <v>26</v>
      </c>
      <c r="K221" s="3" t="s">
        <v>24</v>
      </c>
      <c r="L221" s="3">
        <v>26</v>
      </c>
      <c r="M221" s="3" t="str">
        <f t="shared" si="3"/>
        <v>Youth</v>
      </c>
      <c r="N221" s="3" t="s">
        <v>15</v>
      </c>
    </row>
    <row r="222" spans="1:14" x14ac:dyDescent="0.25">
      <c r="A222" s="3">
        <v>27696</v>
      </c>
      <c r="B222" s="3" t="s">
        <v>36</v>
      </c>
      <c r="C222" s="3" t="s">
        <v>39</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39</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38</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38</v>
      </c>
      <c r="D225" s="4">
        <v>70000</v>
      </c>
      <c r="E225" s="3">
        <v>5</v>
      </c>
      <c r="F225" s="3" t="s">
        <v>13</v>
      </c>
      <c r="G225" s="3" t="s">
        <v>21</v>
      </c>
      <c r="H225" s="3" t="s">
        <v>15</v>
      </c>
      <c r="I225" s="3">
        <v>4</v>
      </c>
      <c r="J225" s="3" t="s">
        <v>46</v>
      </c>
      <c r="K225" s="3" t="s">
        <v>24</v>
      </c>
      <c r="L225" s="3">
        <v>39</v>
      </c>
      <c r="M225" s="3" t="str">
        <f t="shared" si="3"/>
        <v>Middle Age</v>
      </c>
      <c r="N225" s="3" t="s">
        <v>18</v>
      </c>
    </row>
    <row r="226" spans="1:14" x14ac:dyDescent="0.25">
      <c r="A226" s="3">
        <v>19650</v>
      </c>
      <c r="B226" s="3" t="s">
        <v>36</v>
      </c>
      <c r="C226" s="3" t="s">
        <v>38</v>
      </c>
      <c r="D226" s="4">
        <v>30000</v>
      </c>
      <c r="E226" s="3">
        <v>2</v>
      </c>
      <c r="F226" s="3" t="s">
        <v>19</v>
      </c>
      <c r="G226" s="3" t="s">
        <v>20</v>
      </c>
      <c r="H226" s="3" t="s">
        <v>18</v>
      </c>
      <c r="I226" s="3">
        <v>2</v>
      </c>
      <c r="J226" s="3" t="s">
        <v>16</v>
      </c>
      <c r="K226" s="3" t="s">
        <v>24</v>
      </c>
      <c r="L226" s="3">
        <v>67</v>
      </c>
      <c r="M226" s="3" t="str">
        <f t="shared" si="3"/>
        <v>Old Age</v>
      </c>
      <c r="N226" s="3" t="s">
        <v>18</v>
      </c>
    </row>
    <row r="227" spans="1:14" x14ac:dyDescent="0.25">
      <c r="A227" s="3">
        <v>14135</v>
      </c>
      <c r="B227" s="3" t="s">
        <v>36</v>
      </c>
      <c r="C227" s="3" t="s">
        <v>39</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38</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39</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38</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39</v>
      </c>
      <c r="D231" s="4">
        <v>80000</v>
      </c>
      <c r="E231" s="3">
        <v>5</v>
      </c>
      <c r="F231" s="3" t="s">
        <v>27</v>
      </c>
      <c r="G231" s="3" t="s">
        <v>28</v>
      </c>
      <c r="H231" s="3" t="s">
        <v>15</v>
      </c>
      <c r="I231" s="3">
        <v>3</v>
      </c>
      <c r="J231" s="3" t="s">
        <v>46</v>
      </c>
      <c r="K231" s="3" t="s">
        <v>17</v>
      </c>
      <c r="L231" s="3">
        <v>57</v>
      </c>
      <c r="M231" s="3" t="str">
        <f t="shared" si="3"/>
        <v>Old Age</v>
      </c>
      <c r="N231" s="3" t="s">
        <v>18</v>
      </c>
    </row>
    <row r="232" spans="1:14" x14ac:dyDescent="0.25">
      <c r="A232" s="3">
        <v>22830</v>
      </c>
      <c r="B232" s="3" t="s">
        <v>36</v>
      </c>
      <c r="C232" s="3" t="s">
        <v>39</v>
      </c>
      <c r="D232" s="4">
        <v>120000</v>
      </c>
      <c r="E232" s="3">
        <v>4</v>
      </c>
      <c r="F232" s="3" t="s">
        <v>19</v>
      </c>
      <c r="G232" s="3" t="s">
        <v>28</v>
      </c>
      <c r="H232" s="3" t="s">
        <v>15</v>
      </c>
      <c r="I232" s="3">
        <v>3</v>
      </c>
      <c r="J232" s="3" t="s">
        <v>46</v>
      </c>
      <c r="K232" s="3" t="s">
        <v>17</v>
      </c>
      <c r="L232" s="3">
        <v>56</v>
      </c>
      <c r="M232" s="3" t="str">
        <f t="shared" si="3"/>
        <v>Old Age</v>
      </c>
      <c r="N232" s="3" t="s">
        <v>18</v>
      </c>
    </row>
    <row r="233" spans="1:14" x14ac:dyDescent="0.25">
      <c r="A233" s="3">
        <v>14777</v>
      </c>
      <c r="B233" s="3" t="s">
        <v>36</v>
      </c>
      <c r="C233" s="3" t="s">
        <v>38</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38</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39</v>
      </c>
      <c r="D235" s="4">
        <v>20000</v>
      </c>
      <c r="E235" s="3">
        <v>0</v>
      </c>
      <c r="F235" s="3" t="s">
        <v>13</v>
      </c>
      <c r="G235" s="3" t="s">
        <v>20</v>
      </c>
      <c r="H235" s="3" t="s">
        <v>15</v>
      </c>
      <c r="I235" s="3">
        <v>0</v>
      </c>
      <c r="J235" s="3" t="s">
        <v>16</v>
      </c>
      <c r="K235" s="3" t="s">
        <v>24</v>
      </c>
      <c r="L235" s="3">
        <v>27</v>
      </c>
      <c r="M235" s="3" t="str">
        <f t="shared" si="3"/>
        <v>Youth</v>
      </c>
      <c r="N235" s="3" t="s">
        <v>15</v>
      </c>
    </row>
    <row r="236" spans="1:14" x14ac:dyDescent="0.25">
      <c r="A236" s="3">
        <v>24611</v>
      </c>
      <c r="B236" s="3" t="s">
        <v>37</v>
      </c>
      <c r="C236" s="3" t="s">
        <v>39</v>
      </c>
      <c r="D236" s="4">
        <v>90000</v>
      </c>
      <c r="E236" s="3">
        <v>0</v>
      </c>
      <c r="F236" s="3" t="s">
        <v>13</v>
      </c>
      <c r="G236" s="3" t="s">
        <v>21</v>
      </c>
      <c r="H236" s="3" t="s">
        <v>18</v>
      </c>
      <c r="I236" s="3">
        <v>4</v>
      </c>
      <c r="J236" s="3" t="s">
        <v>46</v>
      </c>
      <c r="K236" s="3" t="s">
        <v>24</v>
      </c>
      <c r="L236" s="3">
        <v>35</v>
      </c>
      <c r="M236" s="3" t="str">
        <f t="shared" si="3"/>
        <v>Middle Age</v>
      </c>
      <c r="N236" s="3" t="s">
        <v>15</v>
      </c>
    </row>
    <row r="237" spans="1:14" x14ac:dyDescent="0.25">
      <c r="A237" s="3">
        <v>11340</v>
      </c>
      <c r="B237" s="3" t="s">
        <v>36</v>
      </c>
      <c r="C237" s="3" t="s">
        <v>38</v>
      </c>
      <c r="D237" s="4">
        <v>10000</v>
      </c>
      <c r="E237" s="3">
        <v>1</v>
      </c>
      <c r="F237" s="3" t="s">
        <v>31</v>
      </c>
      <c r="G237" s="3" t="s">
        <v>20</v>
      </c>
      <c r="H237" s="3" t="s">
        <v>15</v>
      </c>
      <c r="I237" s="3">
        <v>0</v>
      </c>
      <c r="J237" s="3" t="s">
        <v>16</v>
      </c>
      <c r="K237" s="3" t="s">
        <v>17</v>
      </c>
      <c r="L237" s="3">
        <v>70</v>
      </c>
      <c r="M237" s="3" t="str">
        <f t="shared" si="3"/>
        <v>Old Age</v>
      </c>
      <c r="N237" s="3" t="s">
        <v>15</v>
      </c>
    </row>
    <row r="238" spans="1:14" x14ac:dyDescent="0.25">
      <c r="A238" s="3">
        <v>25693</v>
      </c>
      <c r="B238" s="3" t="s">
        <v>37</v>
      </c>
      <c r="C238" s="3" t="s">
        <v>38</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38</v>
      </c>
      <c r="D239" s="4">
        <v>10000</v>
      </c>
      <c r="E239" s="3">
        <v>0</v>
      </c>
      <c r="F239" s="3" t="s">
        <v>19</v>
      </c>
      <c r="G239" s="3" t="s">
        <v>25</v>
      </c>
      <c r="H239" s="3" t="s">
        <v>18</v>
      </c>
      <c r="I239" s="3">
        <v>1</v>
      </c>
      <c r="J239" s="3" t="s">
        <v>16</v>
      </c>
      <c r="K239" s="3" t="s">
        <v>24</v>
      </c>
      <c r="L239" s="3">
        <v>26</v>
      </c>
      <c r="M239" s="3" t="str">
        <f t="shared" si="3"/>
        <v>Youth</v>
      </c>
      <c r="N239" s="3" t="s">
        <v>15</v>
      </c>
    </row>
    <row r="240" spans="1:14" x14ac:dyDescent="0.25">
      <c r="A240" s="3">
        <v>22006</v>
      </c>
      <c r="B240" s="3" t="s">
        <v>36</v>
      </c>
      <c r="C240" s="3" t="s">
        <v>39</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38</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39</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38</v>
      </c>
      <c r="D243" s="4">
        <v>30000</v>
      </c>
      <c r="E243" s="3">
        <v>3</v>
      </c>
      <c r="F243" s="3" t="s">
        <v>19</v>
      </c>
      <c r="G243" s="3" t="s">
        <v>20</v>
      </c>
      <c r="H243" s="3" t="s">
        <v>15</v>
      </c>
      <c r="I243" s="3">
        <v>2</v>
      </c>
      <c r="J243" s="3" t="s">
        <v>16</v>
      </c>
      <c r="K243" s="3" t="s">
        <v>17</v>
      </c>
      <c r="L243" s="3">
        <v>27</v>
      </c>
      <c r="M243" s="3" t="str">
        <f t="shared" si="3"/>
        <v>Youth</v>
      </c>
      <c r="N243" s="3" t="s">
        <v>18</v>
      </c>
    </row>
    <row r="244" spans="1:14" x14ac:dyDescent="0.25">
      <c r="A244" s="3">
        <v>23908</v>
      </c>
      <c r="B244" s="3" t="s">
        <v>37</v>
      </c>
      <c r="C244" s="3" t="s">
        <v>39</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38</v>
      </c>
      <c r="D245" s="4">
        <v>20000</v>
      </c>
      <c r="E245" s="3">
        <v>0</v>
      </c>
      <c r="F245" s="3" t="s">
        <v>27</v>
      </c>
      <c r="G245" s="3" t="s">
        <v>25</v>
      </c>
      <c r="H245" s="3" t="s">
        <v>18</v>
      </c>
      <c r="I245" s="3">
        <v>1</v>
      </c>
      <c r="J245" s="3" t="s">
        <v>22</v>
      </c>
      <c r="K245" s="3" t="s">
        <v>17</v>
      </c>
      <c r="L245" s="3">
        <v>29</v>
      </c>
      <c r="M245" s="3" t="str">
        <f t="shared" si="3"/>
        <v>Youth</v>
      </c>
      <c r="N245" s="3" t="s">
        <v>18</v>
      </c>
    </row>
    <row r="246" spans="1:14" x14ac:dyDescent="0.25">
      <c r="A246" s="3">
        <v>19057</v>
      </c>
      <c r="B246" s="3" t="s">
        <v>36</v>
      </c>
      <c r="C246" s="3" t="s">
        <v>38</v>
      </c>
      <c r="D246" s="4">
        <v>120000</v>
      </c>
      <c r="E246" s="3">
        <v>3</v>
      </c>
      <c r="F246" s="3" t="s">
        <v>13</v>
      </c>
      <c r="G246" s="3" t="s">
        <v>28</v>
      </c>
      <c r="H246" s="3" t="s">
        <v>18</v>
      </c>
      <c r="I246" s="3">
        <v>2</v>
      </c>
      <c r="J246" s="3" t="s">
        <v>46</v>
      </c>
      <c r="K246" s="3" t="s">
        <v>17</v>
      </c>
      <c r="L246" s="3">
        <v>52</v>
      </c>
      <c r="M246" s="3" t="str">
        <f t="shared" si="3"/>
        <v>Old Age</v>
      </c>
      <c r="N246" s="3" t="s">
        <v>15</v>
      </c>
    </row>
    <row r="247" spans="1:14" x14ac:dyDescent="0.25">
      <c r="A247" s="3">
        <v>18494</v>
      </c>
      <c r="B247" s="3" t="s">
        <v>36</v>
      </c>
      <c r="C247" s="3" t="s">
        <v>39</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38</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38</v>
      </c>
      <c r="D249" s="4">
        <v>100000</v>
      </c>
      <c r="E249" s="3">
        <v>0</v>
      </c>
      <c r="F249" s="3" t="s">
        <v>27</v>
      </c>
      <c r="G249" s="3" t="s">
        <v>28</v>
      </c>
      <c r="H249" s="3" t="s">
        <v>15</v>
      </c>
      <c r="I249" s="3">
        <v>4</v>
      </c>
      <c r="J249" s="3" t="s">
        <v>46</v>
      </c>
      <c r="K249" s="3" t="s">
        <v>24</v>
      </c>
      <c r="L249" s="3">
        <v>34</v>
      </c>
      <c r="M249" s="3" t="str">
        <f t="shared" si="3"/>
        <v>Middle Age</v>
      </c>
      <c r="N249" s="3" t="s">
        <v>15</v>
      </c>
    </row>
    <row r="250" spans="1:14" x14ac:dyDescent="0.25">
      <c r="A250" s="3">
        <v>13981</v>
      </c>
      <c r="B250" s="3" t="s">
        <v>36</v>
      </c>
      <c r="C250" s="3" t="s">
        <v>38</v>
      </c>
      <c r="D250" s="4">
        <v>10000</v>
      </c>
      <c r="E250" s="3">
        <v>5</v>
      </c>
      <c r="F250" s="3" t="s">
        <v>27</v>
      </c>
      <c r="G250" s="3" t="s">
        <v>14</v>
      </c>
      <c r="H250" s="3" t="s">
        <v>18</v>
      </c>
      <c r="I250" s="3">
        <v>3</v>
      </c>
      <c r="J250" s="3" t="s">
        <v>26</v>
      </c>
      <c r="K250" s="3" t="s">
        <v>24</v>
      </c>
      <c r="L250" s="3">
        <v>62</v>
      </c>
      <c r="M250" s="3" t="str">
        <f t="shared" si="3"/>
        <v>Old Age</v>
      </c>
      <c r="N250" s="3" t="s">
        <v>18</v>
      </c>
    </row>
    <row r="251" spans="1:14" x14ac:dyDescent="0.25">
      <c r="A251" s="3">
        <v>23432</v>
      </c>
      <c r="B251" s="3" t="s">
        <v>37</v>
      </c>
      <c r="C251" s="3" t="s">
        <v>39</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39</v>
      </c>
      <c r="D252" s="4">
        <v>100000</v>
      </c>
      <c r="E252" s="3">
        <v>5</v>
      </c>
      <c r="F252" s="3" t="s">
        <v>31</v>
      </c>
      <c r="G252" s="3" t="s">
        <v>28</v>
      </c>
      <c r="H252" s="3" t="s">
        <v>18</v>
      </c>
      <c r="I252" s="3">
        <v>1</v>
      </c>
      <c r="J252" s="3" t="s">
        <v>26</v>
      </c>
      <c r="K252" s="3" t="s">
        <v>24</v>
      </c>
      <c r="L252" s="3">
        <v>78</v>
      </c>
      <c r="M252" s="3" t="str">
        <f t="shared" si="3"/>
        <v>Old Age</v>
      </c>
      <c r="N252" s="3" t="s">
        <v>15</v>
      </c>
    </row>
    <row r="253" spans="1:14" x14ac:dyDescent="0.25">
      <c r="A253" s="3">
        <v>18172</v>
      </c>
      <c r="B253" s="3" t="s">
        <v>36</v>
      </c>
      <c r="C253" s="3" t="s">
        <v>39</v>
      </c>
      <c r="D253" s="4">
        <v>130000</v>
      </c>
      <c r="E253" s="3">
        <v>4</v>
      </c>
      <c r="F253" s="3" t="s">
        <v>27</v>
      </c>
      <c r="G253" s="3" t="s">
        <v>21</v>
      </c>
      <c r="H253" s="3" t="s">
        <v>15</v>
      </c>
      <c r="I253" s="3">
        <v>3</v>
      </c>
      <c r="J253" s="3" t="s">
        <v>16</v>
      </c>
      <c r="K253" s="3" t="s">
        <v>17</v>
      </c>
      <c r="L253" s="3">
        <v>55</v>
      </c>
      <c r="M253" s="3" t="str">
        <f t="shared" si="3"/>
        <v>Old Age</v>
      </c>
      <c r="N253" s="3" t="s">
        <v>18</v>
      </c>
    </row>
    <row r="254" spans="1:14" x14ac:dyDescent="0.25">
      <c r="A254" s="3">
        <v>12666</v>
      </c>
      <c r="B254" s="3" t="s">
        <v>37</v>
      </c>
      <c r="C254" s="3" t="s">
        <v>39</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39</v>
      </c>
      <c r="D255" s="4">
        <v>100000</v>
      </c>
      <c r="E255" s="3">
        <v>3</v>
      </c>
      <c r="F255" s="3" t="s">
        <v>29</v>
      </c>
      <c r="G255" s="3" t="s">
        <v>21</v>
      </c>
      <c r="H255" s="3" t="s">
        <v>15</v>
      </c>
      <c r="I255" s="3">
        <v>0</v>
      </c>
      <c r="J255" s="3" t="s">
        <v>46</v>
      </c>
      <c r="K255" s="3" t="s">
        <v>17</v>
      </c>
      <c r="L255" s="3">
        <v>59</v>
      </c>
      <c r="M255" s="3" t="str">
        <f t="shared" si="3"/>
        <v>Old Age</v>
      </c>
      <c r="N255" s="3" t="s">
        <v>15</v>
      </c>
    </row>
    <row r="256" spans="1:14" x14ac:dyDescent="0.25">
      <c r="A256" s="3">
        <v>21375</v>
      </c>
      <c r="B256" s="3" t="s">
        <v>37</v>
      </c>
      <c r="C256" s="3" t="s">
        <v>39</v>
      </c>
      <c r="D256" s="4">
        <v>20000</v>
      </c>
      <c r="E256" s="3">
        <v>2</v>
      </c>
      <c r="F256" s="3" t="s">
        <v>29</v>
      </c>
      <c r="G256" s="3" t="s">
        <v>20</v>
      </c>
      <c r="H256" s="3" t="s">
        <v>15</v>
      </c>
      <c r="I256" s="3">
        <v>2</v>
      </c>
      <c r="J256" s="3" t="s">
        <v>23</v>
      </c>
      <c r="K256" s="3" t="s">
        <v>24</v>
      </c>
      <c r="L256" s="3">
        <v>57</v>
      </c>
      <c r="M256" s="3" t="str">
        <f t="shared" si="3"/>
        <v>Old Age</v>
      </c>
      <c r="N256" s="3" t="s">
        <v>18</v>
      </c>
    </row>
    <row r="257" spans="1:14" x14ac:dyDescent="0.25">
      <c r="A257" s="3">
        <v>20839</v>
      </c>
      <c r="B257" s="3" t="s">
        <v>37</v>
      </c>
      <c r="C257" s="3" t="s">
        <v>38</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39</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38</v>
      </c>
      <c r="D259" s="4">
        <v>50000</v>
      </c>
      <c r="E259" s="3">
        <v>0</v>
      </c>
      <c r="F259" s="3" t="s">
        <v>31</v>
      </c>
      <c r="G259" s="3" t="s">
        <v>14</v>
      </c>
      <c r="H259" s="3" t="s">
        <v>15</v>
      </c>
      <c r="I259" s="3">
        <v>0</v>
      </c>
      <c r="J259" s="3" t="s">
        <v>16</v>
      </c>
      <c r="K259" s="3" t="s">
        <v>17</v>
      </c>
      <c r="L259" s="3">
        <v>36</v>
      </c>
      <c r="M259" s="3" t="str">
        <f t="shared" ref="M259:M322" si="4">IF(L259&gt;51,"Old Age",IF(L259&gt;=31,"Middle Age",IF(L259&lt;31,"Youth","Invalid")))</f>
        <v>Middle Age</v>
      </c>
      <c r="N259" s="3" t="s">
        <v>15</v>
      </c>
    </row>
    <row r="260" spans="1:14" x14ac:dyDescent="0.25">
      <c r="A260" s="3">
        <v>14193</v>
      </c>
      <c r="B260" s="3" t="s">
        <v>37</v>
      </c>
      <c r="C260" s="3" t="s">
        <v>38</v>
      </c>
      <c r="D260" s="4">
        <v>100000</v>
      </c>
      <c r="E260" s="3">
        <v>3</v>
      </c>
      <c r="F260" s="3" t="s">
        <v>19</v>
      </c>
      <c r="G260" s="3" t="s">
        <v>28</v>
      </c>
      <c r="H260" s="3" t="s">
        <v>15</v>
      </c>
      <c r="I260" s="3">
        <v>4</v>
      </c>
      <c r="J260" s="3" t="s">
        <v>46</v>
      </c>
      <c r="K260" s="3" t="s">
        <v>17</v>
      </c>
      <c r="L260" s="3">
        <v>56</v>
      </c>
      <c r="M260" s="3" t="str">
        <f t="shared" si="4"/>
        <v>Old Age</v>
      </c>
      <c r="N260" s="3" t="s">
        <v>18</v>
      </c>
    </row>
    <row r="261" spans="1:14" x14ac:dyDescent="0.25">
      <c r="A261" s="3">
        <v>12705</v>
      </c>
      <c r="B261" s="3" t="s">
        <v>36</v>
      </c>
      <c r="C261" s="3" t="s">
        <v>39</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38</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38</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38</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38</v>
      </c>
      <c r="D265" s="4">
        <v>70000</v>
      </c>
      <c r="E265" s="3">
        <v>5</v>
      </c>
      <c r="F265" s="3" t="s">
        <v>13</v>
      </c>
      <c r="G265" s="3" t="s">
        <v>21</v>
      </c>
      <c r="H265" s="3" t="s">
        <v>15</v>
      </c>
      <c r="I265" s="3">
        <v>3</v>
      </c>
      <c r="J265" s="3" t="s">
        <v>46</v>
      </c>
      <c r="K265" s="3" t="s">
        <v>24</v>
      </c>
      <c r="L265" s="3">
        <v>39</v>
      </c>
      <c r="M265" s="3" t="str">
        <f t="shared" si="4"/>
        <v>Middle Age</v>
      </c>
      <c r="N265" s="3" t="s">
        <v>18</v>
      </c>
    </row>
    <row r="266" spans="1:14" x14ac:dyDescent="0.25">
      <c r="A266" s="3">
        <v>17964</v>
      </c>
      <c r="B266" s="3" t="s">
        <v>36</v>
      </c>
      <c r="C266" s="3" t="s">
        <v>39</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38</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38</v>
      </c>
      <c r="D268" s="4">
        <v>20000</v>
      </c>
      <c r="E268" s="3">
        <v>5</v>
      </c>
      <c r="F268" s="3" t="s">
        <v>27</v>
      </c>
      <c r="G268" s="3" t="s">
        <v>25</v>
      </c>
      <c r="H268" s="3" t="s">
        <v>15</v>
      </c>
      <c r="I268" s="3">
        <v>2</v>
      </c>
      <c r="J268" s="3" t="s">
        <v>16</v>
      </c>
      <c r="K268" s="3" t="s">
        <v>17</v>
      </c>
      <c r="L268" s="3">
        <v>27</v>
      </c>
      <c r="M268" s="3" t="str">
        <f t="shared" si="4"/>
        <v>Youth</v>
      </c>
      <c r="N268" s="3" t="s">
        <v>18</v>
      </c>
    </row>
    <row r="269" spans="1:14" x14ac:dyDescent="0.25">
      <c r="A269" s="3">
        <v>13133</v>
      </c>
      <c r="B269" s="3" t="s">
        <v>37</v>
      </c>
      <c r="C269" s="3" t="s">
        <v>39</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39</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38</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38</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38</v>
      </c>
      <c r="D273" s="4">
        <v>20000</v>
      </c>
      <c r="E273" s="3">
        <v>0</v>
      </c>
      <c r="F273" s="3" t="s">
        <v>27</v>
      </c>
      <c r="G273" s="3" t="s">
        <v>25</v>
      </c>
      <c r="H273" s="3" t="s">
        <v>18</v>
      </c>
      <c r="I273" s="3">
        <v>1</v>
      </c>
      <c r="J273" s="3" t="s">
        <v>26</v>
      </c>
      <c r="K273" s="3" t="s">
        <v>17</v>
      </c>
      <c r="L273" s="3">
        <v>28</v>
      </c>
      <c r="M273" s="3" t="str">
        <f t="shared" si="4"/>
        <v>Youth</v>
      </c>
      <c r="N273" s="3" t="s">
        <v>18</v>
      </c>
    </row>
    <row r="274" spans="1:14" x14ac:dyDescent="0.25">
      <c r="A274" s="3">
        <v>24061</v>
      </c>
      <c r="B274" s="3" t="s">
        <v>36</v>
      </c>
      <c r="C274" s="3" t="s">
        <v>39</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38</v>
      </c>
      <c r="D275" s="4">
        <v>20000</v>
      </c>
      <c r="E275" s="3">
        <v>0</v>
      </c>
      <c r="F275" s="3" t="s">
        <v>27</v>
      </c>
      <c r="G275" s="3" t="s">
        <v>25</v>
      </c>
      <c r="H275" s="3" t="s">
        <v>18</v>
      </c>
      <c r="I275" s="3">
        <v>1</v>
      </c>
      <c r="J275" s="3" t="s">
        <v>22</v>
      </c>
      <c r="K275" s="3" t="s">
        <v>17</v>
      </c>
      <c r="L275" s="3">
        <v>30</v>
      </c>
      <c r="M275" s="3" t="str">
        <f t="shared" si="4"/>
        <v>Youth</v>
      </c>
      <c r="N275" s="3" t="s">
        <v>18</v>
      </c>
    </row>
    <row r="276" spans="1:14" x14ac:dyDescent="0.25">
      <c r="A276" s="3">
        <v>12284</v>
      </c>
      <c r="B276" s="3" t="s">
        <v>36</v>
      </c>
      <c r="C276" s="3" t="s">
        <v>38</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38</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38</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38</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39</v>
      </c>
      <c r="D280" s="4">
        <v>100000</v>
      </c>
      <c r="E280" s="3">
        <v>0</v>
      </c>
      <c r="F280" s="3" t="s">
        <v>27</v>
      </c>
      <c r="G280" s="3" t="s">
        <v>28</v>
      </c>
      <c r="H280" s="3" t="s">
        <v>15</v>
      </c>
      <c r="I280" s="3">
        <v>3</v>
      </c>
      <c r="J280" s="3" t="s">
        <v>46</v>
      </c>
      <c r="K280" s="3" t="s">
        <v>24</v>
      </c>
      <c r="L280" s="3">
        <v>35</v>
      </c>
      <c r="M280" s="3" t="str">
        <f t="shared" si="4"/>
        <v>Middle Age</v>
      </c>
      <c r="N280" s="3" t="s">
        <v>15</v>
      </c>
    </row>
    <row r="281" spans="1:14" x14ac:dyDescent="0.25">
      <c r="A281" s="3">
        <v>16390</v>
      </c>
      <c r="B281" s="3" t="s">
        <v>37</v>
      </c>
      <c r="C281" s="3" t="s">
        <v>39</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38</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39</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39</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38</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39</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38</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38</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38</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39</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39</v>
      </c>
      <c r="D291" s="4">
        <v>30000</v>
      </c>
      <c r="E291" s="3">
        <v>3</v>
      </c>
      <c r="F291" s="3" t="s">
        <v>27</v>
      </c>
      <c r="G291" s="3" t="s">
        <v>14</v>
      </c>
      <c r="H291" s="3" t="s">
        <v>15</v>
      </c>
      <c r="I291" s="3">
        <v>2</v>
      </c>
      <c r="J291" s="3" t="s">
        <v>23</v>
      </c>
      <c r="K291" s="3" t="s">
        <v>24</v>
      </c>
      <c r="L291" s="3">
        <v>54</v>
      </c>
      <c r="M291" s="3" t="str">
        <f t="shared" si="4"/>
        <v>Old Age</v>
      </c>
      <c r="N291" s="3" t="s">
        <v>15</v>
      </c>
    </row>
    <row r="292" spans="1:14" x14ac:dyDescent="0.25">
      <c r="A292" s="3">
        <v>28319</v>
      </c>
      <c r="B292" s="3" t="s">
        <v>37</v>
      </c>
      <c r="C292" s="3" t="s">
        <v>38</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39</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38</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38</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39</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38</v>
      </c>
      <c r="D297" s="4">
        <v>110000</v>
      </c>
      <c r="E297" s="3">
        <v>0</v>
      </c>
      <c r="F297" s="3" t="s">
        <v>19</v>
      </c>
      <c r="G297" s="3" t="s">
        <v>28</v>
      </c>
      <c r="H297" s="3" t="s">
        <v>15</v>
      </c>
      <c r="I297" s="3">
        <v>3</v>
      </c>
      <c r="J297" s="3" t="s">
        <v>46</v>
      </c>
      <c r="K297" s="3" t="s">
        <v>24</v>
      </c>
      <c r="L297" s="3">
        <v>32</v>
      </c>
      <c r="M297" s="3" t="str">
        <f t="shared" si="4"/>
        <v>Middle Age</v>
      </c>
      <c r="N297" s="3" t="s">
        <v>15</v>
      </c>
    </row>
    <row r="298" spans="1:14" x14ac:dyDescent="0.25">
      <c r="A298" s="3">
        <v>26663</v>
      </c>
      <c r="B298" s="3" t="s">
        <v>37</v>
      </c>
      <c r="C298" s="3" t="s">
        <v>38</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39</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38</v>
      </c>
      <c r="D300" s="4">
        <v>90000</v>
      </c>
      <c r="E300" s="3">
        <v>4</v>
      </c>
      <c r="F300" s="3" t="s">
        <v>27</v>
      </c>
      <c r="G300" s="3" t="s">
        <v>21</v>
      </c>
      <c r="H300" s="3" t="s">
        <v>18</v>
      </c>
      <c r="I300" s="3">
        <v>2</v>
      </c>
      <c r="J300" s="3" t="s">
        <v>22</v>
      </c>
      <c r="K300" s="3" t="s">
        <v>17</v>
      </c>
      <c r="L300" s="3">
        <v>54</v>
      </c>
      <c r="M300" s="3" t="str">
        <f t="shared" si="4"/>
        <v>Old Age</v>
      </c>
      <c r="N300" s="3" t="s">
        <v>15</v>
      </c>
    </row>
    <row r="301" spans="1:14" x14ac:dyDescent="0.25">
      <c r="A301" s="3">
        <v>13136</v>
      </c>
      <c r="B301" s="3" t="s">
        <v>36</v>
      </c>
      <c r="C301" s="3" t="s">
        <v>38</v>
      </c>
      <c r="D301" s="4">
        <v>30000</v>
      </c>
      <c r="E301" s="3">
        <v>2</v>
      </c>
      <c r="F301" s="3" t="s">
        <v>19</v>
      </c>
      <c r="G301" s="3" t="s">
        <v>20</v>
      </c>
      <c r="H301" s="3" t="s">
        <v>18</v>
      </c>
      <c r="I301" s="3">
        <v>2</v>
      </c>
      <c r="J301" s="3" t="s">
        <v>23</v>
      </c>
      <c r="K301" s="3" t="s">
        <v>24</v>
      </c>
      <c r="L301" s="3">
        <v>69</v>
      </c>
      <c r="M301" s="3" t="str">
        <f t="shared" si="4"/>
        <v>Old Age</v>
      </c>
      <c r="N301" s="3" t="s">
        <v>18</v>
      </c>
    </row>
    <row r="302" spans="1:14" x14ac:dyDescent="0.25">
      <c r="A302" s="3">
        <v>25906</v>
      </c>
      <c r="B302" s="3" t="s">
        <v>37</v>
      </c>
      <c r="C302" s="3" t="s">
        <v>38</v>
      </c>
      <c r="D302" s="4">
        <v>10000</v>
      </c>
      <c r="E302" s="3">
        <v>5</v>
      </c>
      <c r="F302" s="3" t="s">
        <v>27</v>
      </c>
      <c r="G302" s="3" t="s">
        <v>14</v>
      </c>
      <c r="H302" s="3" t="s">
        <v>18</v>
      </c>
      <c r="I302" s="3">
        <v>2</v>
      </c>
      <c r="J302" s="3" t="s">
        <v>26</v>
      </c>
      <c r="K302" s="3" t="s">
        <v>24</v>
      </c>
      <c r="L302" s="3">
        <v>62</v>
      </c>
      <c r="M302" s="3" t="str">
        <f t="shared" si="4"/>
        <v>Old Age</v>
      </c>
      <c r="N302" s="3" t="s">
        <v>18</v>
      </c>
    </row>
    <row r="303" spans="1:14" x14ac:dyDescent="0.25">
      <c r="A303" s="3">
        <v>17926</v>
      </c>
      <c r="B303" s="3" t="s">
        <v>37</v>
      </c>
      <c r="C303" s="3" t="s">
        <v>38</v>
      </c>
      <c r="D303" s="4">
        <v>40000</v>
      </c>
      <c r="E303" s="3">
        <v>0</v>
      </c>
      <c r="F303" s="3" t="s">
        <v>13</v>
      </c>
      <c r="G303" s="3" t="s">
        <v>20</v>
      </c>
      <c r="H303" s="3" t="s">
        <v>18</v>
      </c>
      <c r="I303" s="3">
        <v>0</v>
      </c>
      <c r="J303" s="3" t="s">
        <v>16</v>
      </c>
      <c r="K303" s="3" t="s">
        <v>24</v>
      </c>
      <c r="L303" s="3">
        <v>28</v>
      </c>
      <c r="M303" s="3" t="str">
        <f t="shared" si="4"/>
        <v>Youth</v>
      </c>
      <c r="N303" s="3" t="s">
        <v>15</v>
      </c>
    </row>
    <row r="304" spans="1:14" x14ac:dyDescent="0.25">
      <c r="A304" s="3">
        <v>26928</v>
      </c>
      <c r="B304" s="3" t="s">
        <v>37</v>
      </c>
      <c r="C304" s="3" t="s">
        <v>39</v>
      </c>
      <c r="D304" s="4">
        <v>30000</v>
      </c>
      <c r="E304" s="3">
        <v>1</v>
      </c>
      <c r="F304" s="3" t="s">
        <v>13</v>
      </c>
      <c r="G304" s="3" t="s">
        <v>20</v>
      </c>
      <c r="H304" s="3" t="s">
        <v>15</v>
      </c>
      <c r="I304" s="3">
        <v>0</v>
      </c>
      <c r="J304" s="3" t="s">
        <v>16</v>
      </c>
      <c r="K304" s="3" t="s">
        <v>17</v>
      </c>
      <c r="L304" s="3">
        <v>62</v>
      </c>
      <c r="M304" s="3" t="str">
        <f t="shared" si="4"/>
        <v>Old Age</v>
      </c>
      <c r="N304" s="3" t="s">
        <v>15</v>
      </c>
    </row>
    <row r="305" spans="1:14" x14ac:dyDescent="0.25">
      <c r="A305" s="3">
        <v>20897</v>
      </c>
      <c r="B305" s="3" t="s">
        <v>36</v>
      </c>
      <c r="C305" s="3" t="s">
        <v>38</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39</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39</v>
      </c>
      <c r="D307" s="4">
        <v>10000</v>
      </c>
      <c r="E307" s="3">
        <v>2</v>
      </c>
      <c r="F307" s="3" t="s">
        <v>29</v>
      </c>
      <c r="G307" s="3" t="s">
        <v>20</v>
      </c>
      <c r="H307" s="3" t="s">
        <v>15</v>
      </c>
      <c r="I307" s="3">
        <v>2</v>
      </c>
      <c r="J307" s="3" t="s">
        <v>23</v>
      </c>
      <c r="K307" s="3" t="s">
        <v>24</v>
      </c>
      <c r="L307" s="3">
        <v>58</v>
      </c>
      <c r="M307" s="3" t="str">
        <f t="shared" si="4"/>
        <v>Old Age</v>
      </c>
      <c r="N307" s="3" t="s">
        <v>18</v>
      </c>
    </row>
    <row r="308" spans="1:14" x14ac:dyDescent="0.25">
      <c r="A308" s="3">
        <v>11000</v>
      </c>
      <c r="B308" s="3" t="s">
        <v>36</v>
      </c>
      <c r="C308" s="3" t="s">
        <v>39</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39</v>
      </c>
      <c r="D309" s="4">
        <v>10000</v>
      </c>
      <c r="E309" s="3">
        <v>2</v>
      </c>
      <c r="F309" s="3" t="s">
        <v>13</v>
      </c>
      <c r="G309" s="3" t="s">
        <v>20</v>
      </c>
      <c r="H309" s="3" t="s">
        <v>15</v>
      </c>
      <c r="I309" s="3">
        <v>1</v>
      </c>
      <c r="J309" s="3" t="s">
        <v>16</v>
      </c>
      <c r="K309" s="3" t="s">
        <v>17</v>
      </c>
      <c r="L309" s="3">
        <v>66</v>
      </c>
      <c r="M309" s="3" t="str">
        <f t="shared" si="4"/>
        <v>Old Age</v>
      </c>
      <c r="N309" s="3" t="s">
        <v>18</v>
      </c>
    </row>
    <row r="310" spans="1:14" x14ac:dyDescent="0.25">
      <c r="A310" s="3">
        <v>28758</v>
      </c>
      <c r="B310" s="3" t="s">
        <v>36</v>
      </c>
      <c r="C310" s="3" t="s">
        <v>39</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38</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39</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39</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39</v>
      </c>
      <c r="D314" s="4">
        <v>20000</v>
      </c>
      <c r="E314" s="3">
        <v>4</v>
      </c>
      <c r="F314" s="3" t="s">
        <v>27</v>
      </c>
      <c r="G314" s="3" t="s">
        <v>14</v>
      </c>
      <c r="H314" s="3" t="s">
        <v>15</v>
      </c>
      <c r="I314" s="3">
        <v>2</v>
      </c>
      <c r="J314" s="3" t="s">
        <v>23</v>
      </c>
      <c r="K314" s="3" t="s">
        <v>24</v>
      </c>
      <c r="L314" s="3">
        <v>58</v>
      </c>
      <c r="M314" s="3" t="str">
        <f t="shared" si="4"/>
        <v>Old Age</v>
      </c>
      <c r="N314" s="3" t="s">
        <v>15</v>
      </c>
    </row>
    <row r="315" spans="1:14" x14ac:dyDescent="0.25">
      <c r="A315" s="3">
        <v>23105</v>
      </c>
      <c r="B315" s="3" t="s">
        <v>37</v>
      </c>
      <c r="C315" s="3" t="s">
        <v>39</v>
      </c>
      <c r="D315" s="4">
        <v>40000</v>
      </c>
      <c r="E315" s="3">
        <v>3</v>
      </c>
      <c r="F315" s="3" t="s">
        <v>29</v>
      </c>
      <c r="G315" s="3" t="s">
        <v>20</v>
      </c>
      <c r="H315" s="3" t="s">
        <v>18</v>
      </c>
      <c r="I315" s="3">
        <v>2</v>
      </c>
      <c r="J315" s="3" t="s">
        <v>23</v>
      </c>
      <c r="K315" s="3" t="s">
        <v>24</v>
      </c>
      <c r="L315" s="3">
        <v>52</v>
      </c>
      <c r="M315" s="3" t="str">
        <f t="shared" si="4"/>
        <v>Old Age</v>
      </c>
      <c r="N315" s="3" t="s">
        <v>15</v>
      </c>
    </row>
    <row r="316" spans="1:14" x14ac:dyDescent="0.25">
      <c r="A316" s="3">
        <v>18740</v>
      </c>
      <c r="B316" s="3" t="s">
        <v>36</v>
      </c>
      <c r="C316" s="3" t="s">
        <v>39</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39</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39</v>
      </c>
      <c r="D318" s="4">
        <v>50000</v>
      </c>
      <c r="E318" s="3">
        <v>2</v>
      </c>
      <c r="F318" s="3" t="s">
        <v>31</v>
      </c>
      <c r="G318" s="3" t="s">
        <v>28</v>
      </c>
      <c r="H318" s="3" t="s">
        <v>15</v>
      </c>
      <c r="I318" s="3">
        <v>1</v>
      </c>
      <c r="J318" s="3" t="s">
        <v>23</v>
      </c>
      <c r="K318" s="3" t="s">
        <v>24</v>
      </c>
      <c r="L318" s="3">
        <v>64</v>
      </c>
      <c r="M318" s="3" t="str">
        <f t="shared" si="4"/>
        <v>Old Age</v>
      </c>
      <c r="N318" s="3" t="s">
        <v>15</v>
      </c>
    </row>
    <row r="319" spans="1:14" x14ac:dyDescent="0.25">
      <c r="A319" s="3">
        <v>14154</v>
      </c>
      <c r="B319" s="3" t="s">
        <v>36</v>
      </c>
      <c r="C319" s="3" t="s">
        <v>39</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39</v>
      </c>
      <c r="D320" s="4">
        <v>130000</v>
      </c>
      <c r="E320" s="3">
        <v>4</v>
      </c>
      <c r="F320" s="3" t="s">
        <v>19</v>
      </c>
      <c r="G320" s="3" t="s">
        <v>21</v>
      </c>
      <c r="H320" s="3" t="s">
        <v>18</v>
      </c>
      <c r="I320" s="3">
        <v>3</v>
      </c>
      <c r="J320" s="3" t="s">
        <v>46</v>
      </c>
      <c r="K320" s="3" t="s">
        <v>17</v>
      </c>
      <c r="L320" s="3">
        <v>54</v>
      </c>
      <c r="M320" s="3" t="str">
        <f t="shared" si="4"/>
        <v>Old Age</v>
      </c>
      <c r="N320" s="3" t="s">
        <v>18</v>
      </c>
    </row>
    <row r="321" spans="1:14" x14ac:dyDescent="0.25">
      <c r="A321" s="3">
        <v>11386</v>
      </c>
      <c r="B321" s="3" t="s">
        <v>36</v>
      </c>
      <c r="C321" s="3" t="s">
        <v>38</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39</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38</v>
      </c>
      <c r="D323" s="4">
        <v>160000</v>
      </c>
      <c r="E323" s="3">
        <v>0</v>
      </c>
      <c r="F323" s="3" t="s">
        <v>31</v>
      </c>
      <c r="G323" s="3" t="s">
        <v>28</v>
      </c>
      <c r="H323" s="3" t="s">
        <v>18</v>
      </c>
      <c r="I323" s="3">
        <v>3</v>
      </c>
      <c r="J323" s="3" t="s">
        <v>16</v>
      </c>
      <c r="K323" s="3" t="s">
        <v>24</v>
      </c>
      <c r="L323" s="3">
        <v>47</v>
      </c>
      <c r="M323" s="3" t="str">
        <f t="shared" ref="M323:M386" si="5">IF(L323&gt;51,"Old Age",IF(L323&gt;=31,"Middle Age",IF(L323&lt;31,"Youth","Invalid")))</f>
        <v>Middle Age</v>
      </c>
      <c r="N323" s="3" t="s">
        <v>15</v>
      </c>
    </row>
    <row r="324" spans="1:14" x14ac:dyDescent="0.25">
      <c r="A324" s="3">
        <v>16410</v>
      </c>
      <c r="B324" s="3" t="s">
        <v>37</v>
      </c>
      <c r="C324" s="3" t="s">
        <v>38</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38</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39</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39</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38</v>
      </c>
      <c r="D328" s="4">
        <v>20000</v>
      </c>
      <c r="E328" s="3">
        <v>0</v>
      </c>
      <c r="F328" s="3" t="s">
        <v>13</v>
      </c>
      <c r="G328" s="3" t="s">
        <v>20</v>
      </c>
      <c r="H328" s="3" t="s">
        <v>18</v>
      </c>
      <c r="I328" s="3">
        <v>0</v>
      </c>
      <c r="J328" s="3" t="s">
        <v>16</v>
      </c>
      <c r="K328" s="3" t="s">
        <v>24</v>
      </c>
      <c r="L328" s="3">
        <v>26</v>
      </c>
      <c r="M328" s="3" t="str">
        <f t="shared" si="5"/>
        <v>Youth</v>
      </c>
      <c r="N328" s="3" t="s">
        <v>15</v>
      </c>
    </row>
    <row r="329" spans="1:14" x14ac:dyDescent="0.25">
      <c r="A329" s="3">
        <v>28379</v>
      </c>
      <c r="B329" s="3" t="s">
        <v>36</v>
      </c>
      <c r="C329" s="3" t="s">
        <v>39</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39</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38</v>
      </c>
      <c r="D331" s="4">
        <v>90000</v>
      </c>
      <c r="E331" s="3">
        <v>5</v>
      </c>
      <c r="F331" s="3" t="s">
        <v>29</v>
      </c>
      <c r="G331" s="3" t="s">
        <v>14</v>
      </c>
      <c r="H331" s="3" t="s">
        <v>15</v>
      </c>
      <c r="I331" s="3">
        <v>2</v>
      </c>
      <c r="J331" s="3" t="s">
        <v>46</v>
      </c>
      <c r="K331" s="3" t="s">
        <v>17</v>
      </c>
      <c r="L331" s="3">
        <v>59</v>
      </c>
      <c r="M331" s="3" t="str">
        <f t="shared" si="5"/>
        <v>Old Age</v>
      </c>
      <c r="N331" s="3" t="s">
        <v>18</v>
      </c>
    </row>
    <row r="332" spans="1:14" x14ac:dyDescent="0.25">
      <c r="A332" s="3">
        <v>24898</v>
      </c>
      <c r="B332" s="3" t="s">
        <v>37</v>
      </c>
      <c r="C332" s="3" t="s">
        <v>38</v>
      </c>
      <c r="D332" s="4">
        <v>80000</v>
      </c>
      <c r="E332" s="3">
        <v>0</v>
      </c>
      <c r="F332" s="3" t="s">
        <v>13</v>
      </c>
      <c r="G332" s="3" t="s">
        <v>21</v>
      </c>
      <c r="H332" s="3" t="s">
        <v>15</v>
      </c>
      <c r="I332" s="3">
        <v>3</v>
      </c>
      <c r="J332" s="3" t="s">
        <v>46</v>
      </c>
      <c r="K332" s="3" t="s">
        <v>24</v>
      </c>
      <c r="L332" s="3">
        <v>32</v>
      </c>
      <c r="M332" s="3" t="str">
        <f t="shared" si="5"/>
        <v>Middle Age</v>
      </c>
      <c r="N332" s="3" t="s">
        <v>18</v>
      </c>
    </row>
    <row r="333" spans="1:14" x14ac:dyDescent="0.25">
      <c r="A333" s="3">
        <v>19508</v>
      </c>
      <c r="B333" s="3" t="s">
        <v>36</v>
      </c>
      <c r="C333" s="3" t="s">
        <v>39</v>
      </c>
      <c r="D333" s="4">
        <v>10000</v>
      </c>
      <c r="E333" s="3">
        <v>0</v>
      </c>
      <c r="F333" s="3" t="s">
        <v>29</v>
      </c>
      <c r="G333" s="3" t="s">
        <v>25</v>
      </c>
      <c r="H333" s="3" t="s">
        <v>18</v>
      </c>
      <c r="I333" s="3">
        <v>2</v>
      </c>
      <c r="J333" s="3" t="s">
        <v>16</v>
      </c>
      <c r="K333" s="3" t="s">
        <v>17</v>
      </c>
      <c r="L333" s="3">
        <v>30</v>
      </c>
      <c r="M333" s="3" t="str">
        <f t="shared" si="5"/>
        <v>Youth</v>
      </c>
      <c r="N333" s="3" t="s">
        <v>18</v>
      </c>
    </row>
    <row r="334" spans="1:14" x14ac:dyDescent="0.25">
      <c r="A334" s="3">
        <v>11489</v>
      </c>
      <c r="B334" s="3" t="s">
        <v>37</v>
      </c>
      <c r="C334" s="3" t="s">
        <v>38</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39</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39</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39</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39</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39</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38</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39</v>
      </c>
      <c r="D341" s="4">
        <v>20000</v>
      </c>
      <c r="E341" s="3">
        <v>1</v>
      </c>
      <c r="F341" s="3" t="s">
        <v>13</v>
      </c>
      <c r="G341" s="3" t="s">
        <v>20</v>
      </c>
      <c r="H341" s="3" t="s">
        <v>15</v>
      </c>
      <c r="I341" s="3">
        <v>0</v>
      </c>
      <c r="J341" s="3" t="s">
        <v>16</v>
      </c>
      <c r="K341" s="3" t="s">
        <v>17</v>
      </c>
      <c r="L341" s="3">
        <v>66</v>
      </c>
      <c r="M341" s="3" t="str">
        <f t="shared" si="5"/>
        <v>Old Age</v>
      </c>
      <c r="N341" s="3" t="s">
        <v>18</v>
      </c>
    </row>
    <row r="342" spans="1:14" x14ac:dyDescent="0.25">
      <c r="A342" s="3">
        <v>16468</v>
      </c>
      <c r="B342" s="3" t="s">
        <v>37</v>
      </c>
      <c r="C342" s="3" t="s">
        <v>39</v>
      </c>
      <c r="D342" s="4">
        <v>30000</v>
      </c>
      <c r="E342" s="3">
        <v>0</v>
      </c>
      <c r="F342" s="3" t="s">
        <v>19</v>
      </c>
      <c r="G342" s="3" t="s">
        <v>20</v>
      </c>
      <c r="H342" s="3" t="s">
        <v>15</v>
      </c>
      <c r="I342" s="3">
        <v>1</v>
      </c>
      <c r="J342" s="3" t="s">
        <v>22</v>
      </c>
      <c r="K342" s="3" t="s">
        <v>17</v>
      </c>
      <c r="L342" s="3">
        <v>30</v>
      </c>
      <c r="M342" s="3" t="str">
        <f t="shared" si="5"/>
        <v>Youth</v>
      </c>
      <c r="N342" s="3" t="s">
        <v>18</v>
      </c>
    </row>
    <row r="343" spans="1:14" x14ac:dyDescent="0.25">
      <c r="A343" s="3">
        <v>19174</v>
      </c>
      <c r="B343" s="3" t="s">
        <v>37</v>
      </c>
      <c r="C343" s="3" t="s">
        <v>38</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39</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38</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39</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38</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39</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38</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39</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38</v>
      </c>
      <c r="D351" s="4">
        <v>30000</v>
      </c>
      <c r="E351" s="3">
        <v>0</v>
      </c>
      <c r="F351" s="3" t="s">
        <v>19</v>
      </c>
      <c r="G351" s="3" t="s">
        <v>20</v>
      </c>
      <c r="H351" s="3" t="s">
        <v>18</v>
      </c>
      <c r="I351" s="3">
        <v>1</v>
      </c>
      <c r="J351" s="3" t="s">
        <v>16</v>
      </c>
      <c r="K351" s="3" t="s">
        <v>17</v>
      </c>
      <c r="L351" s="3">
        <v>29</v>
      </c>
      <c r="M351" s="3" t="str">
        <f t="shared" si="5"/>
        <v>Youth</v>
      </c>
      <c r="N351" s="3" t="s">
        <v>15</v>
      </c>
    </row>
    <row r="352" spans="1:14" x14ac:dyDescent="0.25">
      <c r="A352" s="3">
        <v>27878</v>
      </c>
      <c r="B352" s="3" t="s">
        <v>37</v>
      </c>
      <c r="C352" s="3" t="s">
        <v>39</v>
      </c>
      <c r="D352" s="4">
        <v>20000</v>
      </c>
      <c r="E352" s="3">
        <v>0</v>
      </c>
      <c r="F352" s="3" t="s">
        <v>19</v>
      </c>
      <c r="G352" s="3" t="s">
        <v>25</v>
      </c>
      <c r="H352" s="3" t="s">
        <v>18</v>
      </c>
      <c r="I352" s="3">
        <v>0</v>
      </c>
      <c r="J352" s="3" t="s">
        <v>16</v>
      </c>
      <c r="K352" s="3" t="s">
        <v>24</v>
      </c>
      <c r="L352" s="3">
        <v>28</v>
      </c>
      <c r="M352" s="3" t="str">
        <f t="shared" si="5"/>
        <v>Youth</v>
      </c>
      <c r="N352" s="3" t="s">
        <v>15</v>
      </c>
    </row>
    <row r="353" spans="1:14" x14ac:dyDescent="0.25">
      <c r="A353" s="3">
        <v>13572</v>
      </c>
      <c r="B353" s="3" t="s">
        <v>37</v>
      </c>
      <c r="C353" s="3" t="s">
        <v>39</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38</v>
      </c>
      <c r="D354" s="4">
        <v>80000</v>
      </c>
      <c r="E354" s="3">
        <v>4</v>
      </c>
      <c r="F354" s="3" t="s">
        <v>19</v>
      </c>
      <c r="G354" s="3" t="s">
        <v>21</v>
      </c>
      <c r="H354" s="3" t="s">
        <v>15</v>
      </c>
      <c r="I354" s="3">
        <v>2</v>
      </c>
      <c r="J354" s="3" t="s">
        <v>22</v>
      </c>
      <c r="K354" s="3" t="s">
        <v>17</v>
      </c>
      <c r="L354" s="3">
        <v>53</v>
      </c>
      <c r="M354" s="3" t="str">
        <f t="shared" si="5"/>
        <v>Old Age</v>
      </c>
      <c r="N354" s="3" t="s">
        <v>18</v>
      </c>
    </row>
    <row r="355" spans="1:14" x14ac:dyDescent="0.25">
      <c r="A355" s="3">
        <v>26354</v>
      </c>
      <c r="B355" s="3" t="s">
        <v>37</v>
      </c>
      <c r="C355" s="3" t="s">
        <v>39</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39</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39</v>
      </c>
      <c r="D357" s="4">
        <v>80000</v>
      </c>
      <c r="E357" s="3">
        <v>0</v>
      </c>
      <c r="F357" s="3" t="s">
        <v>13</v>
      </c>
      <c r="G357" s="3" t="s">
        <v>21</v>
      </c>
      <c r="H357" s="3" t="s">
        <v>15</v>
      </c>
      <c r="I357" s="3">
        <v>3</v>
      </c>
      <c r="J357" s="3" t="s">
        <v>46</v>
      </c>
      <c r="K357" s="3" t="s">
        <v>24</v>
      </c>
      <c r="L357" s="3">
        <v>32</v>
      </c>
      <c r="M357" s="3" t="str">
        <f t="shared" si="5"/>
        <v>Middle Age</v>
      </c>
      <c r="N357" s="3" t="s">
        <v>18</v>
      </c>
    </row>
    <row r="358" spans="1:14" x14ac:dyDescent="0.25">
      <c r="A358" s="3">
        <v>23608</v>
      </c>
      <c r="B358" s="3" t="s">
        <v>36</v>
      </c>
      <c r="C358" s="3" t="s">
        <v>38</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38</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39</v>
      </c>
      <c r="D360" s="4">
        <v>90000</v>
      </c>
      <c r="E360" s="3">
        <v>4</v>
      </c>
      <c r="F360" s="3" t="s">
        <v>27</v>
      </c>
      <c r="G360" s="3" t="s">
        <v>28</v>
      </c>
      <c r="H360" s="3" t="s">
        <v>15</v>
      </c>
      <c r="I360" s="3">
        <v>3</v>
      </c>
      <c r="J360" s="3" t="s">
        <v>23</v>
      </c>
      <c r="K360" s="3" t="s">
        <v>17</v>
      </c>
      <c r="L360" s="3">
        <v>58</v>
      </c>
      <c r="M360" s="3" t="str">
        <f t="shared" si="5"/>
        <v>Old Age</v>
      </c>
      <c r="N360" s="3" t="s">
        <v>15</v>
      </c>
    </row>
    <row r="361" spans="1:14" x14ac:dyDescent="0.25">
      <c r="A361" s="3">
        <v>17230</v>
      </c>
      <c r="B361" s="3" t="s">
        <v>36</v>
      </c>
      <c r="C361" s="3" t="s">
        <v>39</v>
      </c>
      <c r="D361" s="4">
        <v>80000</v>
      </c>
      <c r="E361" s="3">
        <v>0</v>
      </c>
      <c r="F361" s="3" t="s">
        <v>13</v>
      </c>
      <c r="G361" s="3" t="s">
        <v>21</v>
      </c>
      <c r="H361" s="3" t="s">
        <v>15</v>
      </c>
      <c r="I361" s="3">
        <v>3</v>
      </c>
      <c r="J361" s="3" t="s">
        <v>46</v>
      </c>
      <c r="K361" s="3" t="s">
        <v>24</v>
      </c>
      <c r="L361" s="3">
        <v>30</v>
      </c>
      <c r="M361" s="3" t="str">
        <f t="shared" si="5"/>
        <v>Youth</v>
      </c>
      <c r="N361" s="3" t="s">
        <v>18</v>
      </c>
    </row>
    <row r="362" spans="1:14" x14ac:dyDescent="0.25">
      <c r="A362" s="3">
        <v>13082</v>
      </c>
      <c r="B362" s="3" t="s">
        <v>37</v>
      </c>
      <c r="C362" s="3" t="s">
        <v>39</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38</v>
      </c>
      <c r="D363" s="4">
        <v>30000</v>
      </c>
      <c r="E363" s="3">
        <v>3</v>
      </c>
      <c r="F363" s="3" t="s">
        <v>19</v>
      </c>
      <c r="G363" s="3" t="s">
        <v>20</v>
      </c>
      <c r="H363" s="3" t="s">
        <v>18</v>
      </c>
      <c r="I363" s="3">
        <v>2</v>
      </c>
      <c r="J363" s="3" t="s">
        <v>16</v>
      </c>
      <c r="K363" s="3" t="s">
        <v>17</v>
      </c>
      <c r="L363" s="3">
        <v>27</v>
      </c>
      <c r="M363" s="3" t="str">
        <f t="shared" si="5"/>
        <v>Youth</v>
      </c>
      <c r="N363" s="3" t="s">
        <v>15</v>
      </c>
    </row>
    <row r="364" spans="1:14" x14ac:dyDescent="0.25">
      <c r="A364" s="3">
        <v>13687</v>
      </c>
      <c r="B364" s="3" t="s">
        <v>36</v>
      </c>
      <c r="C364" s="3" t="s">
        <v>39</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38</v>
      </c>
      <c r="D365" s="4">
        <v>40000</v>
      </c>
      <c r="E365" s="3">
        <v>2</v>
      </c>
      <c r="F365" s="3" t="s">
        <v>13</v>
      </c>
      <c r="G365" s="3" t="s">
        <v>28</v>
      </c>
      <c r="H365" s="3" t="s">
        <v>15</v>
      </c>
      <c r="I365" s="3">
        <v>2</v>
      </c>
      <c r="J365" s="3" t="s">
        <v>16</v>
      </c>
      <c r="K365" s="3" t="s">
        <v>24</v>
      </c>
      <c r="L365" s="3">
        <v>66</v>
      </c>
      <c r="M365" s="3" t="str">
        <f t="shared" si="5"/>
        <v>Old Age</v>
      </c>
      <c r="N365" s="3" t="s">
        <v>15</v>
      </c>
    </row>
    <row r="366" spans="1:14" x14ac:dyDescent="0.25">
      <c r="A366" s="3">
        <v>19305</v>
      </c>
      <c r="B366" s="3" t="s">
        <v>37</v>
      </c>
      <c r="C366" s="3" t="s">
        <v>38</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38</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39</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38</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38</v>
      </c>
      <c r="D370" s="4">
        <v>30000</v>
      </c>
      <c r="E370" s="3">
        <v>2</v>
      </c>
      <c r="F370" s="3" t="s">
        <v>19</v>
      </c>
      <c r="G370" s="3" t="s">
        <v>20</v>
      </c>
      <c r="H370" s="3" t="s">
        <v>18</v>
      </c>
      <c r="I370" s="3">
        <v>2</v>
      </c>
      <c r="J370" s="3" t="s">
        <v>23</v>
      </c>
      <c r="K370" s="3" t="s">
        <v>24</v>
      </c>
      <c r="L370" s="3">
        <v>60</v>
      </c>
      <c r="M370" s="3" t="str">
        <f t="shared" si="5"/>
        <v>Old Age</v>
      </c>
      <c r="N370" s="3" t="s">
        <v>15</v>
      </c>
    </row>
    <row r="371" spans="1:14" x14ac:dyDescent="0.25">
      <c r="A371" s="3">
        <v>25752</v>
      </c>
      <c r="B371" s="3" t="s">
        <v>37</v>
      </c>
      <c r="C371" s="3" t="s">
        <v>38</v>
      </c>
      <c r="D371" s="4">
        <v>20000</v>
      </c>
      <c r="E371" s="3">
        <v>2</v>
      </c>
      <c r="F371" s="3" t="s">
        <v>19</v>
      </c>
      <c r="G371" s="3" t="s">
        <v>25</v>
      </c>
      <c r="H371" s="3" t="s">
        <v>18</v>
      </c>
      <c r="I371" s="3">
        <v>1</v>
      </c>
      <c r="J371" s="3" t="s">
        <v>16</v>
      </c>
      <c r="K371" s="3" t="s">
        <v>17</v>
      </c>
      <c r="L371" s="3">
        <v>53</v>
      </c>
      <c r="M371" s="3" t="str">
        <f t="shared" si="5"/>
        <v>Old Age</v>
      </c>
      <c r="N371" s="3" t="s">
        <v>15</v>
      </c>
    </row>
    <row r="372" spans="1:14" x14ac:dyDescent="0.25">
      <c r="A372" s="3">
        <v>17324</v>
      </c>
      <c r="B372" s="3" t="s">
        <v>36</v>
      </c>
      <c r="C372" s="3" t="s">
        <v>38</v>
      </c>
      <c r="D372" s="4">
        <v>100000</v>
      </c>
      <c r="E372" s="3">
        <v>4</v>
      </c>
      <c r="F372" s="3" t="s">
        <v>13</v>
      </c>
      <c r="G372" s="3" t="s">
        <v>21</v>
      </c>
      <c r="H372" s="3" t="s">
        <v>15</v>
      </c>
      <c r="I372" s="3">
        <v>1</v>
      </c>
      <c r="J372" s="3" t="s">
        <v>46</v>
      </c>
      <c r="K372" s="3" t="s">
        <v>24</v>
      </c>
      <c r="L372" s="3">
        <v>46</v>
      </c>
      <c r="M372" s="3" t="str">
        <f t="shared" si="5"/>
        <v>Middle Age</v>
      </c>
      <c r="N372" s="3" t="s">
        <v>18</v>
      </c>
    </row>
    <row r="373" spans="1:14" x14ac:dyDescent="0.25">
      <c r="A373" s="3">
        <v>22918</v>
      </c>
      <c r="B373" s="3" t="s">
        <v>37</v>
      </c>
      <c r="C373" s="3" t="s">
        <v>39</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39</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39</v>
      </c>
      <c r="D375" s="4">
        <v>20000</v>
      </c>
      <c r="E375" s="3">
        <v>0</v>
      </c>
      <c r="F375" s="3" t="s">
        <v>27</v>
      </c>
      <c r="G375" s="3" t="s">
        <v>25</v>
      </c>
      <c r="H375" s="3" t="s">
        <v>18</v>
      </c>
      <c r="I375" s="3">
        <v>1</v>
      </c>
      <c r="J375" s="3" t="s">
        <v>22</v>
      </c>
      <c r="K375" s="3" t="s">
        <v>17</v>
      </c>
      <c r="L375" s="3">
        <v>30</v>
      </c>
      <c r="M375" s="3" t="str">
        <f t="shared" si="5"/>
        <v>Youth</v>
      </c>
      <c r="N375" s="3" t="s">
        <v>18</v>
      </c>
    </row>
    <row r="376" spans="1:14" x14ac:dyDescent="0.25">
      <c r="A376" s="3">
        <v>16179</v>
      </c>
      <c r="B376" s="3" t="s">
        <v>37</v>
      </c>
      <c r="C376" s="3" t="s">
        <v>38</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38</v>
      </c>
      <c r="D377" s="4">
        <v>40000</v>
      </c>
      <c r="E377" s="3">
        <v>1</v>
      </c>
      <c r="F377" s="3" t="s">
        <v>13</v>
      </c>
      <c r="G377" s="3" t="s">
        <v>14</v>
      </c>
      <c r="H377" s="3" t="s">
        <v>15</v>
      </c>
      <c r="I377" s="3">
        <v>1</v>
      </c>
      <c r="J377" s="3" t="s">
        <v>16</v>
      </c>
      <c r="K377" s="3" t="s">
        <v>17</v>
      </c>
      <c r="L377" s="3">
        <v>89</v>
      </c>
      <c r="M377" s="3" t="str">
        <f t="shared" si="5"/>
        <v>Old Age</v>
      </c>
      <c r="N377" s="3" t="s">
        <v>18</v>
      </c>
    </row>
    <row r="378" spans="1:14" x14ac:dyDescent="0.25">
      <c r="A378" s="3">
        <v>20977</v>
      </c>
      <c r="B378" s="3" t="s">
        <v>36</v>
      </c>
      <c r="C378" s="3" t="s">
        <v>39</v>
      </c>
      <c r="D378" s="4">
        <v>20000</v>
      </c>
      <c r="E378" s="3">
        <v>1</v>
      </c>
      <c r="F378" s="3" t="s">
        <v>13</v>
      </c>
      <c r="G378" s="3" t="s">
        <v>20</v>
      </c>
      <c r="H378" s="3" t="s">
        <v>15</v>
      </c>
      <c r="I378" s="3">
        <v>0</v>
      </c>
      <c r="J378" s="3" t="s">
        <v>16</v>
      </c>
      <c r="K378" s="3" t="s">
        <v>17</v>
      </c>
      <c r="L378" s="3">
        <v>64</v>
      </c>
      <c r="M378" s="3" t="str">
        <f t="shared" si="5"/>
        <v>Old Age</v>
      </c>
      <c r="N378" s="3" t="s">
        <v>15</v>
      </c>
    </row>
    <row r="379" spans="1:14" x14ac:dyDescent="0.25">
      <c r="A379" s="3">
        <v>18140</v>
      </c>
      <c r="B379" s="3" t="s">
        <v>36</v>
      </c>
      <c r="C379" s="3" t="s">
        <v>39</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39</v>
      </c>
      <c r="D380" s="4">
        <v>30000</v>
      </c>
      <c r="E380" s="3">
        <v>3</v>
      </c>
      <c r="F380" s="3" t="s">
        <v>19</v>
      </c>
      <c r="G380" s="3" t="s">
        <v>20</v>
      </c>
      <c r="H380" s="3" t="s">
        <v>18</v>
      </c>
      <c r="I380" s="3">
        <v>2</v>
      </c>
      <c r="J380" s="3" t="s">
        <v>23</v>
      </c>
      <c r="K380" s="3" t="s">
        <v>24</v>
      </c>
      <c r="L380" s="3">
        <v>56</v>
      </c>
      <c r="M380" s="3" t="str">
        <f t="shared" si="5"/>
        <v>Old Age</v>
      </c>
      <c r="N380" s="3" t="s">
        <v>18</v>
      </c>
    </row>
    <row r="381" spans="1:14" x14ac:dyDescent="0.25">
      <c r="A381" s="3">
        <v>18267</v>
      </c>
      <c r="B381" s="3" t="s">
        <v>36</v>
      </c>
      <c r="C381" s="3" t="s">
        <v>39</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39</v>
      </c>
      <c r="D382" s="4">
        <v>70000</v>
      </c>
      <c r="E382" s="3">
        <v>0</v>
      </c>
      <c r="F382" s="3" t="s">
        <v>13</v>
      </c>
      <c r="G382" s="3" t="s">
        <v>21</v>
      </c>
      <c r="H382" s="3" t="s">
        <v>18</v>
      </c>
      <c r="I382" s="3">
        <v>3</v>
      </c>
      <c r="J382" s="3" t="s">
        <v>46</v>
      </c>
      <c r="K382" s="3" t="s">
        <v>24</v>
      </c>
      <c r="L382" s="3">
        <v>30</v>
      </c>
      <c r="M382" s="3" t="str">
        <f t="shared" si="5"/>
        <v>Youth</v>
      </c>
      <c r="N382" s="3" t="s">
        <v>15</v>
      </c>
    </row>
    <row r="383" spans="1:14" x14ac:dyDescent="0.25">
      <c r="A383" s="3">
        <v>22974</v>
      </c>
      <c r="B383" s="3" t="s">
        <v>36</v>
      </c>
      <c r="C383" s="3" t="s">
        <v>38</v>
      </c>
      <c r="D383" s="4">
        <v>30000</v>
      </c>
      <c r="E383" s="3">
        <v>2</v>
      </c>
      <c r="F383" s="3" t="s">
        <v>19</v>
      </c>
      <c r="G383" s="3" t="s">
        <v>20</v>
      </c>
      <c r="H383" s="3" t="s">
        <v>15</v>
      </c>
      <c r="I383" s="3">
        <v>2</v>
      </c>
      <c r="J383" s="3" t="s">
        <v>23</v>
      </c>
      <c r="K383" s="3" t="s">
        <v>24</v>
      </c>
      <c r="L383" s="3">
        <v>69</v>
      </c>
      <c r="M383" s="3" t="str">
        <f t="shared" si="5"/>
        <v>Old Age</v>
      </c>
      <c r="N383" s="3" t="s">
        <v>18</v>
      </c>
    </row>
    <row r="384" spans="1:14" x14ac:dyDescent="0.25">
      <c r="A384" s="3">
        <v>13586</v>
      </c>
      <c r="B384" s="3" t="s">
        <v>36</v>
      </c>
      <c r="C384" s="3" t="s">
        <v>39</v>
      </c>
      <c r="D384" s="4">
        <v>80000</v>
      </c>
      <c r="E384" s="3">
        <v>4</v>
      </c>
      <c r="F384" s="3" t="s">
        <v>19</v>
      </c>
      <c r="G384" s="3" t="s">
        <v>21</v>
      </c>
      <c r="H384" s="3" t="s">
        <v>15</v>
      </c>
      <c r="I384" s="3">
        <v>2</v>
      </c>
      <c r="J384" s="3" t="s">
        <v>46</v>
      </c>
      <c r="K384" s="3" t="s">
        <v>17</v>
      </c>
      <c r="L384" s="3">
        <v>53</v>
      </c>
      <c r="M384" s="3" t="str">
        <f t="shared" si="5"/>
        <v>Old Age</v>
      </c>
      <c r="N384" s="3" t="s">
        <v>18</v>
      </c>
    </row>
    <row r="385" spans="1:14" x14ac:dyDescent="0.25">
      <c r="A385" s="3">
        <v>17978</v>
      </c>
      <c r="B385" s="3" t="s">
        <v>36</v>
      </c>
      <c r="C385" s="3" t="s">
        <v>39</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38</v>
      </c>
      <c r="D386" s="4">
        <v>10000</v>
      </c>
      <c r="E386" s="3">
        <v>0</v>
      </c>
      <c r="F386" s="3" t="s">
        <v>19</v>
      </c>
      <c r="G386" s="3" t="s">
        <v>25</v>
      </c>
      <c r="H386" s="3" t="s">
        <v>18</v>
      </c>
      <c r="I386" s="3">
        <v>1</v>
      </c>
      <c r="J386" s="3" t="s">
        <v>16</v>
      </c>
      <c r="K386" s="3" t="s">
        <v>24</v>
      </c>
      <c r="L386" s="3">
        <v>28</v>
      </c>
      <c r="M386" s="3" t="str">
        <f t="shared" si="5"/>
        <v>Youth</v>
      </c>
      <c r="N386" s="3" t="s">
        <v>15</v>
      </c>
    </row>
    <row r="387" spans="1:14" x14ac:dyDescent="0.25">
      <c r="A387" s="3">
        <v>18018</v>
      </c>
      <c r="B387" s="3" t="s">
        <v>37</v>
      </c>
      <c r="C387" s="3" t="s">
        <v>39</v>
      </c>
      <c r="D387" s="4">
        <v>30000</v>
      </c>
      <c r="E387" s="3">
        <v>3</v>
      </c>
      <c r="F387" s="3" t="s">
        <v>19</v>
      </c>
      <c r="G387" s="3" t="s">
        <v>20</v>
      </c>
      <c r="H387" s="3" t="s">
        <v>15</v>
      </c>
      <c r="I387" s="3">
        <v>0</v>
      </c>
      <c r="J387" s="3" t="s">
        <v>16</v>
      </c>
      <c r="K387" s="3" t="s">
        <v>17</v>
      </c>
      <c r="L387" s="3">
        <v>43</v>
      </c>
      <c r="M387" s="3" t="str">
        <f t="shared" ref="M387:M450" si="6">IF(L387&gt;51,"Old Age",IF(L387&gt;=31,"Middle Age",IF(L387&lt;31,"Youth","Invalid")))</f>
        <v>Middle Age</v>
      </c>
      <c r="N387" s="3" t="s">
        <v>18</v>
      </c>
    </row>
    <row r="388" spans="1:14" x14ac:dyDescent="0.25">
      <c r="A388" s="3">
        <v>28957</v>
      </c>
      <c r="B388" s="3" t="s">
        <v>37</v>
      </c>
      <c r="C388" s="3" t="s">
        <v>38</v>
      </c>
      <c r="D388" s="4">
        <v>120000</v>
      </c>
      <c r="E388" s="3">
        <v>0</v>
      </c>
      <c r="F388" s="3" t="s">
        <v>29</v>
      </c>
      <c r="G388" s="3" t="s">
        <v>21</v>
      </c>
      <c r="H388" s="3" t="s">
        <v>15</v>
      </c>
      <c r="I388" s="3">
        <v>4</v>
      </c>
      <c r="J388" s="3" t="s">
        <v>46</v>
      </c>
      <c r="K388" s="3" t="s">
        <v>24</v>
      </c>
      <c r="L388" s="3">
        <v>34</v>
      </c>
      <c r="M388" s="3" t="str">
        <f t="shared" si="6"/>
        <v>Middle Age</v>
      </c>
      <c r="N388" s="3" t="s">
        <v>15</v>
      </c>
    </row>
    <row r="389" spans="1:14" x14ac:dyDescent="0.25">
      <c r="A389" s="3">
        <v>13690</v>
      </c>
      <c r="B389" s="3" t="s">
        <v>37</v>
      </c>
      <c r="C389" s="3" t="s">
        <v>38</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38</v>
      </c>
      <c r="D390" s="4">
        <v>30000</v>
      </c>
      <c r="E390" s="3">
        <v>1</v>
      </c>
      <c r="F390" s="3" t="s">
        <v>13</v>
      </c>
      <c r="G390" s="3" t="s">
        <v>20</v>
      </c>
      <c r="H390" s="3" t="s">
        <v>15</v>
      </c>
      <c r="I390" s="3">
        <v>0</v>
      </c>
      <c r="J390" s="3" t="s">
        <v>16</v>
      </c>
      <c r="K390" s="3" t="s">
        <v>17</v>
      </c>
      <c r="L390" s="3">
        <v>64</v>
      </c>
      <c r="M390" s="3" t="str">
        <f t="shared" si="6"/>
        <v>Old Age</v>
      </c>
      <c r="N390" s="3" t="s">
        <v>18</v>
      </c>
    </row>
    <row r="391" spans="1:14" x14ac:dyDescent="0.25">
      <c r="A391" s="3">
        <v>13122</v>
      </c>
      <c r="B391" s="3" t="s">
        <v>36</v>
      </c>
      <c r="C391" s="3" t="s">
        <v>38</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39</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38</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39</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38</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38</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39</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39</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38</v>
      </c>
      <c r="D399" s="4">
        <v>10000</v>
      </c>
      <c r="E399" s="3">
        <v>2</v>
      </c>
      <c r="F399" s="3" t="s">
        <v>29</v>
      </c>
      <c r="G399" s="3" t="s">
        <v>20</v>
      </c>
      <c r="H399" s="3" t="s">
        <v>15</v>
      </c>
      <c r="I399" s="3">
        <v>2</v>
      </c>
      <c r="J399" s="3" t="s">
        <v>23</v>
      </c>
      <c r="K399" s="3" t="s">
        <v>24</v>
      </c>
      <c r="L399" s="3">
        <v>58</v>
      </c>
      <c r="M399" s="3" t="str">
        <f t="shared" si="6"/>
        <v>Old Age</v>
      </c>
      <c r="N399" s="3" t="s">
        <v>18</v>
      </c>
    </row>
    <row r="400" spans="1:14" x14ac:dyDescent="0.25">
      <c r="A400" s="3">
        <v>27771</v>
      </c>
      <c r="B400" s="3" t="s">
        <v>37</v>
      </c>
      <c r="C400" s="3" t="s">
        <v>39</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38</v>
      </c>
      <c r="D401" s="4">
        <v>40000</v>
      </c>
      <c r="E401" s="3">
        <v>2</v>
      </c>
      <c r="F401" s="3" t="s">
        <v>13</v>
      </c>
      <c r="G401" s="3" t="s">
        <v>28</v>
      </c>
      <c r="H401" s="3" t="s">
        <v>18</v>
      </c>
      <c r="I401" s="3">
        <v>1</v>
      </c>
      <c r="J401" s="3" t="s">
        <v>23</v>
      </c>
      <c r="K401" s="3" t="s">
        <v>24</v>
      </c>
      <c r="L401" s="3">
        <v>53</v>
      </c>
      <c r="M401" s="3" t="str">
        <f t="shared" si="6"/>
        <v>Old Age</v>
      </c>
      <c r="N401" s="3" t="s">
        <v>15</v>
      </c>
    </row>
    <row r="402" spans="1:14" x14ac:dyDescent="0.25">
      <c r="A402" s="3">
        <v>25792</v>
      </c>
      <c r="B402" s="3" t="s">
        <v>37</v>
      </c>
      <c r="C402" s="3" t="s">
        <v>38</v>
      </c>
      <c r="D402" s="4">
        <v>110000</v>
      </c>
      <c r="E402" s="3">
        <v>3</v>
      </c>
      <c r="F402" s="3" t="s">
        <v>13</v>
      </c>
      <c r="G402" s="3" t="s">
        <v>28</v>
      </c>
      <c r="H402" s="3" t="s">
        <v>15</v>
      </c>
      <c r="I402" s="3">
        <v>4</v>
      </c>
      <c r="J402" s="3" t="s">
        <v>46</v>
      </c>
      <c r="K402" s="3" t="s">
        <v>17</v>
      </c>
      <c r="L402" s="3">
        <v>53</v>
      </c>
      <c r="M402" s="3" t="str">
        <f t="shared" si="6"/>
        <v>Old Age</v>
      </c>
      <c r="N402" s="3" t="s">
        <v>18</v>
      </c>
    </row>
    <row r="403" spans="1:14" x14ac:dyDescent="0.25">
      <c r="A403" s="3">
        <v>11555</v>
      </c>
      <c r="B403" s="3" t="s">
        <v>36</v>
      </c>
      <c r="C403" s="3" t="s">
        <v>38</v>
      </c>
      <c r="D403" s="4">
        <v>40000</v>
      </c>
      <c r="E403" s="3">
        <v>1</v>
      </c>
      <c r="F403" s="3" t="s">
        <v>13</v>
      </c>
      <c r="G403" s="3" t="s">
        <v>20</v>
      </c>
      <c r="H403" s="3" t="s">
        <v>15</v>
      </c>
      <c r="I403" s="3">
        <v>0</v>
      </c>
      <c r="J403" s="3" t="s">
        <v>16</v>
      </c>
      <c r="K403" s="3" t="s">
        <v>17</v>
      </c>
      <c r="L403" s="3">
        <v>80</v>
      </c>
      <c r="M403" s="3" t="str">
        <f t="shared" si="6"/>
        <v>Old Age</v>
      </c>
      <c r="N403" s="3" t="s">
        <v>18</v>
      </c>
    </row>
    <row r="404" spans="1:14" x14ac:dyDescent="0.25">
      <c r="A404" s="3">
        <v>22381</v>
      </c>
      <c r="B404" s="3" t="s">
        <v>36</v>
      </c>
      <c r="C404" s="3" t="s">
        <v>39</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39</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39</v>
      </c>
      <c r="D406" s="4">
        <v>30000</v>
      </c>
      <c r="E406" s="3">
        <v>3</v>
      </c>
      <c r="F406" s="3" t="s">
        <v>27</v>
      </c>
      <c r="G406" s="3" t="s">
        <v>14</v>
      </c>
      <c r="H406" s="3" t="s">
        <v>15</v>
      </c>
      <c r="I406" s="3">
        <v>2</v>
      </c>
      <c r="J406" s="3" t="s">
        <v>23</v>
      </c>
      <c r="K406" s="3" t="s">
        <v>24</v>
      </c>
      <c r="L406" s="3">
        <v>54</v>
      </c>
      <c r="M406" s="3" t="str">
        <f t="shared" si="6"/>
        <v>Old Age</v>
      </c>
      <c r="N406" s="3" t="s">
        <v>15</v>
      </c>
    </row>
    <row r="407" spans="1:14" x14ac:dyDescent="0.25">
      <c r="A407" s="3">
        <v>22439</v>
      </c>
      <c r="B407" s="3" t="s">
        <v>36</v>
      </c>
      <c r="C407" s="3" t="s">
        <v>38</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38</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38</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38</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38</v>
      </c>
      <c r="D411" s="4">
        <v>130000</v>
      </c>
      <c r="E411" s="3">
        <v>3</v>
      </c>
      <c r="F411" s="3" t="s">
        <v>19</v>
      </c>
      <c r="G411" s="3" t="s">
        <v>21</v>
      </c>
      <c r="H411" s="3" t="s">
        <v>15</v>
      </c>
      <c r="I411" s="3">
        <v>4</v>
      </c>
      <c r="J411" s="3" t="s">
        <v>16</v>
      </c>
      <c r="K411" s="3" t="s">
        <v>17</v>
      </c>
      <c r="L411" s="3">
        <v>52</v>
      </c>
      <c r="M411" s="3" t="str">
        <f t="shared" si="6"/>
        <v>Old Age</v>
      </c>
      <c r="N411" s="3" t="s">
        <v>18</v>
      </c>
    </row>
    <row r="412" spans="1:14" x14ac:dyDescent="0.25">
      <c r="A412" s="3">
        <v>20171</v>
      </c>
      <c r="B412" s="3" t="s">
        <v>36</v>
      </c>
      <c r="C412" s="3" t="s">
        <v>38</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39</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39</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38</v>
      </c>
      <c r="D415" s="4">
        <v>30000</v>
      </c>
      <c r="E415" s="3">
        <v>2</v>
      </c>
      <c r="F415" s="3" t="s">
        <v>19</v>
      </c>
      <c r="G415" s="3" t="s">
        <v>20</v>
      </c>
      <c r="H415" s="3" t="s">
        <v>18</v>
      </c>
      <c r="I415" s="3">
        <v>2</v>
      </c>
      <c r="J415" s="3" t="s">
        <v>23</v>
      </c>
      <c r="K415" s="3" t="s">
        <v>24</v>
      </c>
      <c r="L415" s="3">
        <v>67</v>
      </c>
      <c r="M415" s="3" t="str">
        <f t="shared" si="6"/>
        <v>Old Age</v>
      </c>
      <c r="N415" s="3" t="s">
        <v>18</v>
      </c>
    </row>
    <row r="416" spans="1:14" x14ac:dyDescent="0.25">
      <c r="A416" s="3">
        <v>17960</v>
      </c>
      <c r="B416" s="3" t="s">
        <v>36</v>
      </c>
      <c r="C416" s="3" t="s">
        <v>38</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38</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39</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38</v>
      </c>
      <c r="D419" s="4">
        <v>30000</v>
      </c>
      <c r="E419" s="3">
        <v>2</v>
      </c>
      <c r="F419" s="3" t="s">
        <v>19</v>
      </c>
      <c r="G419" s="3" t="s">
        <v>20</v>
      </c>
      <c r="H419" s="3" t="s">
        <v>18</v>
      </c>
      <c r="I419" s="3">
        <v>2</v>
      </c>
      <c r="J419" s="3" t="s">
        <v>23</v>
      </c>
      <c r="K419" s="3" t="s">
        <v>24</v>
      </c>
      <c r="L419" s="3">
        <v>67</v>
      </c>
      <c r="M419" s="3" t="str">
        <f t="shared" si="6"/>
        <v>Old Age</v>
      </c>
      <c r="N419" s="3" t="s">
        <v>18</v>
      </c>
    </row>
    <row r="420" spans="1:14" x14ac:dyDescent="0.25">
      <c r="A420" s="3">
        <v>11576</v>
      </c>
      <c r="B420" s="3" t="s">
        <v>36</v>
      </c>
      <c r="C420" s="3" t="s">
        <v>39</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39</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38</v>
      </c>
      <c r="D422" s="4">
        <v>100000</v>
      </c>
      <c r="E422" s="3">
        <v>2</v>
      </c>
      <c r="F422" s="3" t="s">
        <v>13</v>
      </c>
      <c r="G422" s="3" t="s">
        <v>28</v>
      </c>
      <c r="H422" s="3" t="s">
        <v>15</v>
      </c>
      <c r="I422" s="3">
        <v>4</v>
      </c>
      <c r="J422" s="3" t="s">
        <v>46</v>
      </c>
      <c r="K422" s="3" t="s">
        <v>17</v>
      </c>
      <c r="L422" s="3">
        <v>59</v>
      </c>
      <c r="M422" s="3" t="str">
        <f t="shared" si="6"/>
        <v>Old Age</v>
      </c>
      <c r="N422" s="3" t="s">
        <v>18</v>
      </c>
    </row>
    <row r="423" spans="1:14" x14ac:dyDescent="0.25">
      <c r="A423" s="3">
        <v>14547</v>
      </c>
      <c r="B423" s="3" t="s">
        <v>36</v>
      </c>
      <c r="C423" s="3" t="s">
        <v>39</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39</v>
      </c>
      <c r="D424" s="4">
        <v>110000</v>
      </c>
      <c r="E424" s="3">
        <v>0</v>
      </c>
      <c r="F424" s="3" t="s">
        <v>19</v>
      </c>
      <c r="G424" s="3" t="s">
        <v>28</v>
      </c>
      <c r="H424" s="3" t="s">
        <v>18</v>
      </c>
      <c r="I424" s="3">
        <v>3</v>
      </c>
      <c r="J424" s="3" t="s">
        <v>46</v>
      </c>
      <c r="K424" s="3" t="s">
        <v>24</v>
      </c>
      <c r="L424" s="3">
        <v>32</v>
      </c>
      <c r="M424" s="3" t="str">
        <f t="shared" si="6"/>
        <v>Middle Age</v>
      </c>
      <c r="N424" s="3" t="s">
        <v>15</v>
      </c>
    </row>
    <row r="425" spans="1:14" x14ac:dyDescent="0.25">
      <c r="A425" s="3">
        <v>27169</v>
      </c>
      <c r="B425" s="3" t="s">
        <v>37</v>
      </c>
      <c r="C425" s="3" t="s">
        <v>39</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38</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39</v>
      </c>
      <c r="D427" s="4">
        <v>40000</v>
      </c>
      <c r="E427" s="3">
        <v>2</v>
      </c>
      <c r="F427" s="3" t="s">
        <v>13</v>
      </c>
      <c r="G427" s="3" t="s">
        <v>28</v>
      </c>
      <c r="H427" s="3" t="s">
        <v>15</v>
      </c>
      <c r="I427" s="3">
        <v>2</v>
      </c>
      <c r="J427" s="3" t="s">
        <v>16</v>
      </c>
      <c r="K427" s="3" t="s">
        <v>24</v>
      </c>
      <c r="L427" s="3">
        <v>67</v>
      </c>
      <c r="M427" s="3" t="str">
        <f t="shared" si="6"/>
        <v>Old Age</v>
      </c>
      <c r="N427" s="3" t="s">
        <v>18</v>
      </c>
    </row>
    <row r="428" spans="1:14" x14ac:dyDescent="0.25">
      <c r="A428" s="3">
        <v>19389</v>
      </c>
      <c r="B428" s="3" t="s">
        <v>37</v>
      </c>
      <c r="C428" s="3" t="s">
        <v>39</v>
      </c>
      <c r="D428" s="4">
        <v>30000</v>
      </c>
      <c r="E428" s="3">
        <v>0</v>
      </c>
      <c r="F428" s="3" t="s">
        <v>19</v>
      </c>
      <c r="G428" s="3" t="s">
        <v>20</v>
      </c>
      <c r="H428" s="3" t="s">
        <v>18</v>
      </c>
      <c r="I428" s="3">
        <v>1</v>
      </c>
      <c r="J428" s="3" t="s">
        <v>22</v>
      </c>
      <c r="K428" s="3" t="s">
        <v>17</v>
      </c>
      <c r="L428" s="3">
        <v>28</v>
      </c>
      <c r="M428" s="3" t="str">
        <f t="shared" si="6"/>
        <v>Youth</v>
      </c>
      <c r="N428" s="3" t="s">
        <v>18</v>
      </c>
    </row>
    <row r="429" spans="1:14" x14ac:dyDescent="0.25">
      <c r="A429" s="3">
        <v>17048</v>
      </c>
      <c r="B429" s="3" t="s">
        <v>37</v>
      </c>
      <c r="C429" s="3" t="s">
        <v>38</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39</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38</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38</v>
      </c>
      <c r="D432" s="4">
        <v>30000</v>
      </c>
      <c r="E432" s="3">
        <v>3</v>
      </c>
      <c r="F432" s="3" t="s">
        <v>27</v>
      </c>
      <c r="G432" s="3" t="s">
        <v>14</v>
      </c>
      <c r="H432" s="3" t="s">
        <v>15</v>
      </c>
      <c r="I432" s="3">
        <v>2</v>
      </c>
      <c r="J432" s="3" t="s">
        <v>23</v>
      </c>
      <c r="K432" s="3" t="s">
        <v>24</v>
      </c>
      <c r="L432" s="3">
        <v>55</v>
      </c>
      <c r="M432" s="3" t="str">
        <f t="shared" si="6"/>
        <v>Old Age</v>
      </c>
      <c r="N432" s="3" t="s">
        <v>18</v>
      </c>
    </row>
    <row r="433" spans="1:14" x14ac:dyDescent="0.25">
      <c r="A433" s="3">
        <v>28488</v>
      </c>
      <c r="B433" s="3" t="s">
        <v>37</v>
      </c>
      <c r="C433" s="3" t="s">
        <v>39</v>
      </c>
      <c r="D433" s="4">
        <v>20000</v>
      </c>
      <c r="E433" s="3">
        <v>0</v>
      </c>
      <c r="F433" s="3" t="s">
        <v>19</v>
      </c>
      <c r="G433" s="3" t="s">
        <v>25</v>
      </c>
      <c r="H433" s="3" t="s">
        <v>15</v>
      </c>
      <c r="I433" s="3">
        <v>0</v>
      </c>
      <c r="J433" s="3" t="s">
        <v>16</v>
      </c>
      <c r="K433" s="3" t="s">
        <v>24</v>
      </c>
      <c r="L433" s="3">
        <v>28</v>
      </c>
      <c r="M433" s="3" t="str">
        <f t="shared" si="6"/>
        <v>Youth</v>
      </c>
      <c r="N433" s="3" t="s">
        <v>15</v>
      </c>
    </row>
    <row r="434" spans="1:14" x14ac:dyDescent="0.25">
      <c r="A434" s="3">
        <v>21891</v>
      </c>
      <c r="B434" s="3" t="s">
        <v>36</v>
      </c>
      <c r="C434" s="3" t="s">
        <v>38</v>
      </c>
      <c r="D434" s="4">
        <v>110000</v>
      </c>
      <c r="E434" s="3">
        <v>0</v>
      </c>
      <c r="F434" s="3" t="s">
        <v>27</v>
      </c>
      <c r="G434" s="3" t="s">
        <v>28</v>
      </c>
      <c r="H434" s="3" t="s">
        <v>15</v>
      </c>
      <c r="I434" s="3">
        <v>3</v>
      </c>
      <c r="J434" s="3" t="s">
        <v>46</v>
      </c>
      <c r="K434" s="3" t="s">
        <v>24</v>
      </c>
      <c r="L434" s="3">
        <v>34</v>
      </c>
      <c r="M434" s="3" t="str">
        <f t="shared" si="6"/>
        <v>Middle Age</v>
      </c>
      <c r="N434" s="3" t="s">
        <v>15</v>
      </c>
    </row>
    <row r="435" spans="1:14" x14ac:dyDescent="0.25">
      <c r="A435" s="3">
        <v>27814</v>
      </c>
      <c r="B435" s="3" t="s">
        <v>37</v>
      </c>
      <c r="C435" s="3" t="s">
        <v>38</v>
      </c>
      <c r="D435" s="4">
        <v>30000</v>
      </c>
      <c r="E435" s="3">
        <v>3</v>
      </c>
      <c r="F435" s="3" t="s">
        <v>19</v>
      </c>
      <c r="G435" s="3" t="s">
        <v>20</v>
      </c>
      <c r="H435" s="3" t="s">
        <v>18</v>
      </c>
      <c r="I435" s="3">
        <v>1</v>
      </c>
      <c r="J435" s="3" t="s">
        <v>16</v>
      </c>
      <c r="K435" s="3" t="s">
        <v>17</v>
      </c>
      <c r="L435" s="3">
        <v>26</v>
      </c>
      <c r="M435" s="3" t="str">
        <f t="shared" si="6"/>
        <v>Youth</v>
      </c>
      <c r="N435" s="3" t="s">
        <v>18</v>
      </c>
    </row>
    <row r="436" spans="1:14" x14ac:dyDescent="0.25">
      <c r="A436" s="3">
        <v>22175</v>
      </c>
      <c r="B436" s="3" t="s">
        <v>36</v>
      </c>
      <c r="C436" s="3" t="s">
        <v>38</v>
      </c>
      <c r="D436" s="4">
        <v>30000</v>
      </c>
      <c r="E436" s="3">
        <v>3</v>
      </c>
      <c r="F436" s="3" t="s">
        <v>27</v>
      </c>
      <c r="G436" s="3" t="s">
        <v>14</v>
      </c>
      <c r="H436" s="3" t="s">
        <v>15</v>
      </c>
      <c r="I436" s="3">
        <v>2</v>
      </c>
      <c r="J436" s="3" t="s">
        <v>23</v>
      </c>
      <c r="K436" s="3" t="s">
        <v>24</v>
      </c>
      <c r="L436" s="3">
        <v>53</v>
      </c>
      <c r="M436" s="3" t="str">
        <f t="shared" si="6"/>
        <v>Old Age</v>
      </c>
      <c r="N436" s="3" t="s">
        <v>15</v>
      </c>
    </row>
    <row r="437" spans="1:14" x14ac:dyDescent="0.25">
      <c r="A437" s="3">
        <v>29447</v>
      </c>
      <c r="B437" s="3" t="s">
        <v>37</v>
      </c>
      <c r="C437" s="3" t="s">
        <v>38</v>
      </c>
      <c r="D437" s="4">
        <v>10000</v>
      </c>
      <c r="E437" s="3">
        <v>2</v>
      </c>
      <c r="F437" s="3" t="s">
        <v>13</v>
      </c>
      <c r="G437" s="3" t="s">
        <v>20</v>
      </c>
      <c r="H437" s="3" t="s">
        <v>18</v>
      </c>
      <c r="I437" s="3">
        <v>1</v>
      </c>
      <c r="J437" s="3" t="s">
        <v>22</v>
      </c>
      <c r="K437" s="3" t="s">
        <v>17</v>
      </c>
      <c r="L437" s="3">
        <v>68</v>
      </c>
      <c r="M437" s="3" t="str">
        <f t="shared" si="6"/>
        <v>Old Age</v>
      </c>
      <c r="N437" s="3" t="s">
        <v>18</v>
      </c>
    </row>
    <row r="438" spans="1:14" x14ac:dyDescent="0.25">
      <c r="A438" s="3">
        <v>19784</v>
      </c>
      <c r="B438" s="3" t="s">
        <v>36</v>
      </c>
      <c r="C438" s="3" t="s">
        <v>38</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38</v>
      </c>
      <c r="D439" s="4">
        <v>30000</v>
      </c>
      <c r="E439" s="3">
        <v>3</v>
      </c>
      <c r="F439" s="3" t="s">
        <v>19</v>
      </c>
      <c r="G439" s="3" t="s">
        <v>20</v>
      </c>
      <c r="H439" s="3" t="s">
        <v>15</v>
      </c>
      <c r="I439" s="3">
        <v>2</v>
      </c>
      <c r="J439" s="3" t="s">
        <v>16</v>
      </c>
      <c r="K439" s="3" t="s">
        <v>17</v>
      </c>
      <c r="L439" s="3">
        <v>28</v>
      </c>
      <c r="M439" s="3" t="str">
        <f t="shared" si="6"/>
        <v>Youth</v>
      </c>
      <c r="N439" s="3" t="s">
        <v>15</v>
      </c>
    </row>
    <row r="440" spans="1:14" x14ac:dyDescent="0.25">
      <c r="A440" s="3">
        <v>24093</v>
      </c>
      <c r="B440" s="3" t="s">
        <v>37</v>
      </c>
      <c r="C440" s="3" t="s">
        <v>38</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39</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39</v>
      </c>
      <c r="D442" s="4">
        <v>90000</v>
      </c>
      <c r="E442" s="3">
        <v>0</v>
      </c>
      <c r="F442" s="3" t="s">
        <v>13</v>
      </c>
      <c r="G442" s="3" t="s">
        <v>21</v>
      </c>
      <c r="H442" s="3" t="s">
        <v>18</v>
      </c>
      <c r="I442" s="3">
        <v>3</v>
      </c>
      <c r="J442" s="3" t="s">
        <v>46</v>
      </c>
      <c r="K442" s="3" t="s">
        <v>24</v>
      </c>
      <c r="L442" s="3">
        <v>34</v>
      </c>
      <c r="M442" s="3" t="str">
        <f t="shared" si="6"/>
        <v>Middle Age</v>
      </c>
      <c r="N442" s="3" t="s">
        <v>15</v>
      </c>
    </row>
    <row r="443" spans="1:14" x14ac:dyDescent="0.25">
      <c r="A443" s="3">
        <v>11061</v>
      </c>
      <c r="B443" s="3" t="s">
        <v>36</v>
      </c>
      <c r="C443" s="3" t="s">
        <v>39</v>
      </c>
      <c r="D443" s="4">
        <v>70000</v>
      </c>
      <c r="E443" s="3">
        <v>2</v>
      </c>
      <c r="F443" s="3" t="s">
        <v>19</v>
      </c>
      <c r="G443" s="3" t="s">
        <v>14</v>
      </c>
      <c r="H443" s="3" t="s">
        <v>15</v>
      </c>
      <c r="I443" s="3">
        <v>2</v>
      </c>
      <c r="J443" s="3" t="s">
        <v>23</v>
      </c>
      <c r="K443" s="3" t="s">
        <v>24</v>
      </c>
      <c r="L443" s="3">
        <v>52</v>
      </c>
      <c r="M443" s="3" t="str">
        <f t="shared" si="6"/>
        <v>Old Age</v>
      </c>
      <c r="N443" s="3" t="s">
        <v>15</v>
      </c>
    </row>
    <row r="444" spans="1:14" x14ac:dyDescent="0.25">
      <c r="A444" s="3">
        <v>26651</v>
      </c>
      <c r="B444" s="3" t="s">
        <v>37</v>
      </c>
      <c r="C444" s="3" t="s">
        <v>39</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38</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39</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38</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38</v>
      </c>
      <c r="D448" s="4">
        <v>130000</v>
      </c>
      <c r="E448" s="3">
        <v>0</v>
      </c>
      <c r="F448" s="3" t="s">
        <v>31</v>
      </c>
      <c r="G448" s="3" t="s">
        <v>28</v>
      </c>
      <c r="H448" s="3" t="s">
        <v>15</v>
      </c>
      <c r="I448" s="3">
        <v>1</v>
      </c>
      <c r="J448" s="3" t="s">
        <v>46</v>
      </c>
      <c r="K448" s="3" t="s">
        <v>24</v>
      </c>
      <c r="L448" s="3">
        <v>48</v>
      </c>
      <c r="M448" s="3" t="str">
        <f t="shared" si="6"/>
        <v>Middle Age</v>
      </c>
      <c r="N448" s="3" t="s">
        <v>18</v>
      </c>
    </row>
    <row r="449" spans="1:14" x14ac:dyDescent="0.25">
      <c r="A449" s="3">
        <v>20711</v>
      </c>
      <c r="B449" s="3" t="s">
        <v>36</v>
      </c>
      <c r="C449" s="3" t="s">
        <v>38</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38</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38</v>
      </c>
      <c r="D451" s="4">
        <v>40000</v>
      </c>
      <c r="E451" s="3">
        <v>1</v>
      </c>
      <c r="F451" s="3" t="s">
        <v>13</v>
      </c>
      <c r="G451" s="3" t="s">
        <v>14</v>
      </c>
      <c r="H451" s="3" t="s">
        <v>15</v>
      </c>
      <c r="I451" s="3">
        <v>0</v>
      </c>
      <c r="J451" s="3" t="s">
        <v>16</v>
      </c>
      <c r="K451" s="3" t="s">
        <v>17</v>
      </c>
      <c r="L451" s="3">
        <v>42</v>
      </c>
      <c r="M451" s="3" t="str">
        <f t="shared" ref="M451:M514" si="7">IF(L451&gt;51,"Old Age",IF(L451&gt;=31,"Middle Age",IF(L451&lt;31,"Youth","Invalid")))</f>
        <v>Middle Age</v>
      </c>
      <c r="N451" s="3" t="s">
        <v>18</v>
      </c>
    </row>
    <row r="452" spans="1:14" x14ac:dyDescent="0.25">
      <c r="A452" s="3">
        <v>16559</v>
      </c>
      <c r="B452" s="3" t="s">
        <v>37</v>
      </c>
      <c r="C452" s="3" t="s">
        <v>38</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38</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38</v>
      </c>
      <c r="D454" s="4">
        <v>30000</v>
      </c>
      <c r="E454" s="3">
        <v>2</v>
      </c>
      <c r="F454" s="3" t="s">
        <v>19</v>
      </c>
      <c r="G454" s="3" t="s">
        <v>20</v>
      </c>
      <c r="H454" s="3" t="s">
        <v>18</v>
      </c>
      <c r="I454" s="3">
        <v>2</v>
      </c>
      <c r="J454" s="3" t="s">
        <v>16</v>
      </c>
      <c r="K454" s="3" t="s">
        <v>24</v>
      </c>
      <c r="L454" s="3">
        <v>69</v>
      </c>
      <c r="M454" s="3" t="str">
        <f t="shared" si="7"/>
        <v>Old Age</v>
      </c>
      <c r="N454" s="3" t="s">
        <v>18</v>
      </c>
    </row>
    <row r="455" spans="1:14" x14ac:dyDescent="0.25">
      <c r="A455" s="3">
        <v>26765</v>
      </c>
      <c r="B455" s="3" t="s">
        <v>37</v>
      </c>
      <c r="C455" s="3" t="s">
        <v>38</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39</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38</v>
      </c>
      <c r="D457" s="4">
        <v>80000</v>
      </c>
      <c r="E457" s="3">
        <v>4</v>
      </c>
      <c r="F457" s="3" t="s">
        <v>19</v>
      </c>
      <c r="G457" s="3" t="s">
        <v>21</v>
      </c>
      <c r="H457" s="3" t="s">
        <v>18</v>
      </c>
      <c r="I457" s="3">
        <v>1</v>
      </c>
      <c r="J457" s="3" t="s">
        <v>22</v>
      </c>
      <c r="K457" s="3" t="s">
        <v>17</v>
      </c>
      <c r="L457" s="3">
        <v>53</v>
      </c>
      <c r="M457" s="3" t="str">
        <f t="shared" si="7"/>
        <v>Old Age</v>
      </c>
      <c r="N457" s="3" t="s">
        <v>15</v>
      </c>
    </row>
    <row r="458" spans="1:14" x14ac:dyDescent="0.25">
      <c r="A458" s="3">
        <v>26385</v>
      </c>
      <c r="B458" s="3" t="s">
        <v>37</v>
      </c>
      <c r="C458" s="3" t="s">
        <v>39</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38</v>
      </c>
      <c r="D459" s="4">
        <v>20000</v>
      </c>
      <c r="E459" s="3">
        <v>1</v>
      </c>
      <c r="F459" s="3" t="s">
        <v>19</v>
      </c>
      <c r="G459" s="3" t="s">
        <v>25</v>
      </c>
      <c r="H459" s="3" t="s">
        <v>15</v>
      </c>
      <c r="I459" s="3">
        <v>0</v>
      </c>
      <c r="J459" s="3" t="s">
        <v>16</v>
      </c>
      <c r="K459" s="3" t="s">
        <v>17</v>
      </c>
      <c r="L459" s="3">
        <v>65</v>
      </c>
      <c r="M459" s="3" t="str">
        <f t="shared" si="7"/>
        <v>Old Age</v>
      </c>
      <c r="N459" s="3" t="s">
        <v>18</v>
      </c>
    </row>
    <row r="460" spans="1:14" x14ac:dyDescent="0.25">
      <c r="A460" s="3">
        <v>21560</v>
      </c>
      <c r="B460" s="3" t="s">
        <v>36</v>
      </c>
      <c r="C460" s="3" t="s">
        <v>39</v>
      </c>
      <c r="D460" s="4">
        <v>120000</v>
      </c>
      <c r="E460" s="3">
        <v>0</v>
      </c>
      <c r="F460" s="3" t="s">
        <v>29</v>
      </c>
      <c r="G460" s="3" t="s">
        <v>21</v>
      </c>
      <c r="H460" s="3" t="s">
        <v>15</v>
      </c>
      <c r="I460" s="3">
        <v>4</v>
      </c>
      <c r="J460" s="3" t="s">
        <v>46</v>
      </c>
      <c r="K460" s="3" t="s">
        <v>24</v>
      </c>
      <c r="L460" s="3">
        <v>32</v>
      </c>
      <c r="M460" s="3" t="str">
        <f t="shared" si="7"/>
        <v>Middle Age</v>
      </c>
      <c r="N460" s="3" t="s">
        <v>15</v>
      </c>
    </row>
    <row r="461" spans="1:14" x14ac:dyDescent="0.25">
      <c r="A461" s="3">
        <v>21554</v>
      </c>
      <c r="B461" s="3" t="s">
        <v>37</v>
      </c>
      <c r="C461" s="3" t="s">
        <v>38</v>
      </c>
      <c r="D461" s="4">
        <v>80000</v>
      </c>
      <c r="E461" s="3">
        <v>0</v>
      </c>
      <c r="F461" s="3" t="s">
        <v>13</v>
      </c>
      <c r="G461" s="3" t="s">
        <v>21</v>
      </c>
      <c r="H461" s="3" t="s">
        <v>18</v>
      </c>
      <c r="I461" s="3">
        <v>3</v>
      </c>
      <c r="J461" s="3" t="s">
        <v>46</v>
      </c>
      <c r="K461" s="3" t="s">
        <v>24</v>
      </c>
      <c r="L461" s="3">
        <v>33</v>
      </c>
      <c r="M461" s="3" t="str">
        <f t="shared" si="7"/>
        <v>Middle Age</v>
      </c>
      <c r="N461" s="3" t="s">
        <v>18</v>
      </c>
    </row>
    <row r="462" spans="1:14" x14ac:dyDescent="0.25">
      <c r="A462" s="3">
        <v>13662</v>
      </c>
      <c r="B462" s="3" t="s">
        <v>37</v>
      </c>
      <c r="C462" s="3" t="s">
        <v>39</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38</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38</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39</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38</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39</v>
      </c>
      <c r="D467" s="4">
        <v>40000</v>
      </c>
      <c r="E467" s="3">
        <v>2</v>
      </c>
      <c r="F467" s="3" t="s">
        <v>13</v>
      </c>
      <c r="G467" s="3" t="s">
        <v>28</v>
      </c>
      <c r="H467" s="3" t="s">
        <v>15</v>
      </c>
      <c r="I467" s="3">
        <v>2</v>
      </c>
      <c r="J467" s="3" t="s">
        <v>16</v>
      </c>
      <c r="K467" s="3" t="s">
        <v>24</v>
      </c>
      <c r="L467" s="3">
        <v>65</v>
      </c>
      <c r="M467" s="3" t="str">
        <f t="shared" si="7"/>
        <v>Old Age</v>
      </c>
      <c r="N467" s="3" t="s">
        <v>18</v>
      </c>
    </row>
    <row r="468" spans="1:14" x14ac:dyDescent="0.25">
      <c r="A468" s="3">
        <v>16549</v>
      </c>
      <c r="B468" s="3" t="s">
        <v>37</v>
      </c>
      <c r="C468" s="3" t="s">
        <v>38</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39</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38</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38</v>
      </c>
      <c r="D471" s="4">
        <v>30000</v>
      </c>
      <c r="E471" s="3">
        <v>1</v>
      </c>
      <c r="F471" s="3" t="s">
        <v>13</v>
      </c>
      <c r="G471" s="3" t="s">
        <v>20</v>
      </c>
      <c r="H471" s="3" t="s">
        <v>15</v>
      </c>
      <c r="I471" s="3">
        <v>0</v>
      </c>
      <c r="J471" s="3" t="s">
        <v>16</v>
      </c>
      <c r="K471" s="3" t="s">
        <v>17</v>
      </c>
      <c r="L471" s="3">
        <v>65</v>
      </c>
      <c r="M471" s="3" t="str">
        <f t="shared" si="7"/>
        <v>Old Age</v>
      </c>
      <c r="N471" s="3" t="s">
        <v>18</v>
      </c>
    </row>
    <row r="472" spans="1:14" x14ac:dyDescent="0.25">
      <c r="A472" s="3">
        <v>15612</v>
      </c>
      <c r="B472" s="3" t="s">
        <v>37</v>
      </c>
      <c r="C472" s="3" t="s">
        <v>39</v>
      </c>
      <c r="D472" s="4">
        <v>30000</v>
      </c>
      <c r="E472" s="3">
        <v>0</v>
      </c>
      <c r="F472" s="3" t="s">
        <v>27</v>
      </c>
      <c r="G472" s="3" t="s">
        <v>25</v>
      </c>
      <c r="H472" s="3" t="s">
        <v>18</v>
      </c>
      <c r="I472" s="3">
        <v>1</v>
      </c>
      <c r="J472" s="3" t="s">
        <v>26</v>
      </c>
      <c r="K472" s="3" t="s">
        <v>17</v>
      </c>
      <c r="L472" s="3">
        <v>28</v>
      </c>
      <c r="M472" s="3" t="str">
        <f t="shared" si="7"/>
        <v>Youth</v>
      </c>
      <c r="N472" s="3" t="s">
        <v>18</v>
      </c>
    </row>
    <row r="473" spans="1:14" x14ac:dyDescent="0.25">
      <c r="A473" s="3">
        <v>28323</v>
      </c>
      <c r="B473" s="3" t="s">
        <v>37</v>
      </c>
      <c r="C473" s="3" t="s">
        <v>39</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38</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38</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38</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39</v>
      </c>
      <c r="D477" s="4">
        <v>20000</v>
      </c>
      <c r="E477" s="3">
        <v>4</v>
      </c>
      <c r="F477" s="3" t="s">
        <v>27</v>
      </c>
      <c r="G477" s="3" t="s">
        <v>14</v>
      </c>
      <c r="H477" s="3" t="s">
        <v>18</v>
      </c>
      <c r="I477" s="3">
        <v>2</v>
      </c>
      <c r="J477" s="3" t="s">
        <v>26</v>
      </c>
      <c r="K477" s="3" t="s">
        <v>24</v>
      </c>
      <c r="L477" s="3">
        <v>60</v>
      </c>
      <c r="M477" s="3" t="str">
        <f t="shared" si="7"/>
        <v>Old Age</v>
      </c>
      <c r="N477" s="3" t="s">
        <v>18</v>
      </c>
    </row>
    <row r="478" spans="1:14" x14ac:dyDescent="0.25">
      <c r="A478" s="3">
        <v>21974</v>
      </c>
      <c r="B478" s="3" t="s">
        <v>37</v>
      </c>
      <c r="C478" s="3" t="s">
        <v>38</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39</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39</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39</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38</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38</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39</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39</v>
      </c>
      <c r="D485" s="4">
        <v>10000</v>
      </c>
      <c r="E485" s="3">
        <v>1</v>
      </c>
      <c r="F485" s="3" t="s">
        <v>31</v>
      </c>
      <c r="G485" s="3" t="s">
        <v>20</v>
      </c>
      <c r="H485" s="3" t="s">
        <v>15</v>
      </c>
      <c r="I485" s="3">
        <v>0</v>
      </c>
      <c r="J485" s="3" t="s">
        <v>16</v>
      </c>
      <c r="K485" s="3" t="s">
        <v>17</v>
      </c>
      <c r="L485" s="3">
        <v>70</v>
      </c>
      <c r="M485" s="3" t="str">
        <f t="shared" si="7"/>
        <v>Old Age</v>
      </c>
      <c r="N485" s="3" t="s">
        <v>18</v>
      </c>
    </row>
    <row r="486" spans="1:14" x14ac:dyDescent="0.25">
      <c r="A486" s="3">
        <v>25681</v>
      </c>
      <c r="B486" s="3" t="s">
        <v>37</v>
      </c>
      <c r="C486" s="3" t="s">
        <v>38</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39</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38</v>
      </c>
      <c r="D488" s="4">
        <v>90000</v>
      </c>
      <c r="E488" s="3">
        <v>4</v>
      </c>
      <c r="F488" s="3" t="s">
        <v>29</v>
      </c>
      <c r="G488" s="3" t="s">
        <v>14</v>
      </c>
      <c r="H488" s="3" t="s">
        <v>15</v>
      </c>
      <c r="I488" s="3">
        <v>4</v>
      </c>
      <c r="J488" s="3" t="s">
        <v>46</v>
      </c>
      <c r="K488" s="3" t="s">
        <v>17</v>
      </c>
      <c r="L488" s="3">
        <v>58</v>
      </c>
      <c r="M488" s="3" t="str">
        <f t="shared" si="7"/>
        <v>Old Age</v>
      </c>
      <c r="N488" s="3" t="s">
        <v>18</v>
      </c>
    </row>
    <row r="489" spans="1:14" x14ac:dyDescent="0.25">
      <c r="A489" s="3">
        <v>12821</v>
      </c>
      <c r="B489" s="3" t="s">
        <v>36</v>
      </c>
      <c r="C489" s="3" t="s">
        <v>39</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38</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39</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39</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39</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38</v>
      </c>
      <c r="D494" s="4">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39</v>
      </c>
      <c r="D495" s="4">
        <v>70000</v>
      </c>
      <c r="E495" s="3">
        <v>5</v>
      </c>
      <c r="F495" s="3" t="s">
        <v>13</v>
      </c>
      <c r="G495" s="3" t="s">
        <v>28</v>
      </c>
      <c r="H495" s="3" t="s">
        <v>15</v>
      </c>
      <c r="I495" s="3">
        <v>3</v>
      </c>
      <c r="J495" s="3" t="s">
        <v>46</v>
      </c>
      <c r="K495" s="3" t="s">
        <v>32</v>
      </c>
      <c r="L495" s="3">
        <v>60</v>
      </c>
      <c r="M495" s="3" t="str">
        <f t="shared" si="7"/>
        <v>Old Age</v>
      </c>
      <c r="N495" s="3" t="s">
        <v>15</v>
      </c>
    </row>
    <row r="496" spans="1:14" x14ac:dyDescent="0.25">
      <c r="A496" s="3">
        <v>27650</v>
      </c>
      <c r="B496" s="3" t="s">
        <v>36</v>
      </c>
      <c r="C496" s="3" t="s">
        <v>39</v>
      </c>
      <c r="D496" s="4">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39</v>
      </c>
      <c r="D497" s="4">
        <v>60000</v>
      </c>
      <c r="E497" s="3">
        <v>2</v>
      </c>
      <c r="F497" s="3" t="s">
        <v>19</v>
      </c>
      <c r="G497" s="3" t="s">
        <v>21</v>
      </c>
      <c r="H497" s="3" t="s">
        <v>15</v>
      </c>
      <c r="I497" s="3">
        <v>2</v>
      </c>
      <c r="J497" s="3" t="s">
        <v>46</v>
      </c>
      <c r="K497" s="3" t="s">
        <v>32</v>
      </c>
      <c r="L497" s="3">
        <v>56</v>
      </c>
      <c r="M497" s="3" t="str">
        <f t="shared" si="7"/>
        <v>Old Age</v>
      </c>
      <c r="N497" s="3" t="s">
        <v>18</v>
      </c>
    </row>
    <row r="498" spans="1:14" x14ac:dyDescent="0.25">
      <c r="A498" s="3">
        <v>20678</v>
      </c>
      <c r="B498" s="3" t="s">
        <v>37</v>
      </c>
      <c r="C498" s="3" t="s">
        <v>38</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38</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39</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38</v>
      </c>
      <c r="D501" s="4">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39</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38</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39</v>
      </c>
      <c r="D504" s="4">
        <v>40000</v>
      </c>
      <c r="E504" s="3">
        <v>0</v>
      </c>
      <c r="F504" s="3" t="s">
        <v>19</v>
      </c>
      <c r="G504" s="3" t="s">
        <v>14</v>
      </c>
      <c r="H504" s="3" t="s">
        <v>15</v>
      </c>
      <c r="I504" s="3">
        <v>1</v>
      </c>
      <c r="J504" s="3" t="s">
        <v>23</v>
      </c>
      <c r="K504" s="3" t="s">
        <v>32</v>
      </c>
      <c r="L504" s="3">
        <v>29</v>
      </c>
      <c r="M504" s="3" t="str">
        <f t="shared" si="7"/>
        <v>Youth</v>
      </c>
      <c r="N504" s="3" t="s">
        <v>18</v>
      </c>
    </row>
    <row r="505" spans="1:14" x14ac:dyDescent="0.25">
      <c r="A505" s="3">
        <v>20339</v>
      </c>
      <c r="B505" s="3" t="s">
        <v>36</v>
      </c>
      <c r="C505" s="3" t="s">
        <v>38</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39</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39</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38</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38</v>
      </c>
      <c r="D509" s="4">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39</v>
      </c>
      <c r="D510" s="4">
        <v>60000</v>
      </c>
      <c r="E510" s="3">
        <v>0</v>
      </c>
      <c r="F510" s="3" t="s">
        <v>19</v>
      </c>
      <c r="G510" s="3" t="s">
        <v>14</v>
      </c>
      <c r="H510" s="3" t="s">
        <v>18</v>
      </c>
      <c r="I510" s="3">
        <v>2</v>
      </c>
      <c r="J510" s="3" t="s">
        <v>26</v>
      </c>
      <c r="K510" s="3" t="s">
        <v>32</v>
      </c>
      <c r="L510" s="3">
        <v>29</v>
      </c>
      <c r="M510" s="3" t="str">
        <f t="shared" si="7"/>
        <v>Youth</v>
      </c>
      <c r="N510" s="3" t="s">
        <v>18</v>
      </c>
    </row>
    <row r="511" spans="1:14" x14ac:dyDescent="0.25">
      <c r="A511" s="3">
        <v>24357</v>
      </c>
      <c r="B511" s="3" t="s">
        <v>36</v>
      </c>
      <c r="C511" s="3" t="s">
        <v>39</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39</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39</v>
      </c>
      <c r="D513" s="4">
        <v>80000</v>
      </c>
      <c r="E513" s="3">
        <v>4</v>
      </c>
      <c r="F513" s="3" t="s">
        <v>13</v>
      </c>
      <c r="G513" s="3" t="s">
        <v>28</v>
      </c>
      <c r="H513" s="3" t="s">
        <v>15</v>
      </c>
      <c r="I513" s="3">
        <v>0</v>
      </c>
      <c r="J513" s="3" t="s">
        <v>23</v>
      </c>
      <c r="K513" s="3" t="s">
        <v>32</v>
      </c>
      <c r="L513" s="3">
        <v>66</v>
      </c>
      <c r="M513" s="3" t="str">
        <f t="shared" si="7"/>
        <v>Old Age</v>
      </c>
      <c r="N513" s="3" t="s">
        <v>15</v>
      </c>
    </row>
    <row r="514" spans="1:14" x14ac:dyDescent="0.25">
      <c r="A514" s="3">
        <v>18052</v>
      </c>
      <c r="B514" s="3" t="s">
        <v>36</v>
      </c>
      <c r="C514" s="3" t="s">
        <v>38</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38</v>
      </c>
      <c r="D515" s="4">
        <v>60000</v>
      </c>
      <c r="E515" s="3">
        <v>4</v>
      </c>
      <c r="F515" s="3" t="s">
        <v>31</v>
      </c>
      <c r="G515" s="3" t="s">
        <v>28</v>
      </c>
      <c r="H515" s="3" t="s">
        <v>15</v>
      </c>
      <c r="I515" s="3">
        <v>2</v>
      </c>
      <c r="J515" s="3" t="s">
        <v>46</v>
      </c>
      <c r="K515" s="3" t="s">
        <v>32</v>
      </c>
      <c r="L515" s="3">
        <v>61</v>
      </c>
      <c r="M515" s="3" t="str">
        <f t="shared" ref="M515:M578" si="8">IF(L515&gt;51,"Old Age",IF(L515&gt;=31,"Middle Age",IF(L515&lt;31,"Youth","Invalid")))</f>
        <v>Old Age</v>
      </c>
      <c r="N515" s="3" t="s">
        <v>15</v>
      </c>
    </row>
    <row r="516" spans="1:14" x14ac:dyDescent="0.25">
      <c r="A516" s="3">
        <v>19399</v>
      </c>
      <c r="B516" s="3" t="s">
        <v>37</v>
      </c>
      <c r="C516" s="3" t="s">
        <v>39</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38</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38</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39</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38</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39</v>
      </c>
      <c r="D521" s="4">
        <v>80000</v>
      </c>
      <c r="E521" s="3">
        <v>5</v>
      </c>
      <c r="F521" s="3" t="s">
        <v>13</v>
      </c>
      <c r="G521" s="3" t="s">
        <v>28</v>
      </c>
      <c r="H521" s="3" t="s">
        <v>15</v>
      </c>
      <c r="I521" s="3">
        <v>2</v>
      </c>
      <c r="J521" s="3" t="s">
        <v>26</v>
      </c>
      <c r="K521" s="3" t="s">
        <v>32</v>
      </c>
      <c r="L521" s="3">
        <v>64</v>
      </c>
      <c r="M521" s="3" t="str">
        <f t="shared" si="8"/>
        <v>Old Age</v>
      </c>
      <c r="N521" s="3" t="s">
        <v>18</v>
      </c>
    </row>
    <row r="522" spans="1:14" x14ac:dyDescent="0.25">
      <c r="A522" s="3">
        <v>27638</v>
      </c>
      <c r="B522" s="3" t="s">
        <v>37</v>
      </c>
      <c r="C522" s="3" t="s">
        <v>39</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39</v>
      </c>
      <c r="D523" s="4">
        <v>40000</v>
      </c>
      <c r="E523" s="3">
        <v>4</v>
      </c>
      <c r="F523" s="3" t="s">
        <v>27</v>
      </c>
      <c r="G523" s="3" t="s">
        <v>21</v>
      </c>
      <c r="H523" s="3" t="s">
        <v>15</v>
      </c>
      <c r="I523" s="3">
        <v>2</v>
      </c>
      <c r="J523" s="3" t="s">
        <v>46</v>
      </c>
      <c r="K523" s="3" t="s">
        <v>32</v>
      </c>
      <c r="L523" s="3">
        <v>62</v>
      </c>
      <c r="M523" s="3" t="str">
        <f t="shared" si="8"/>
        <v>Old Age</v>
      </c>
      <c r="N523" s="3" t="s">
        <v>15</v>
      </c>
    </row>
    <row r="524" spans="1:14" x14ac:dyDescent="0.25">
      <c r="A524" s="3">
        <v>19413</v>
      </c>
      <c r="B524" s="3" t="s">
        <v>37</v>
      </c>
      <c r="C524" s="3" t="s">
        <v>39</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39</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38</v>
      </c>
      <c r="D526" s="4">
        <v>80000</v>
      </c>
      <c r="E526" s="3">
        <v>4</v>
      </c>
      <c r="F526" s="3" t="s">
        <v>31</v>
      </c>
      <c r="G526" s="3" t="s">
        <v>28</v>
      </c>
      <c r="H526" s="3" t="s">
        <v>15</v>
      </c>
      <c r="I526" s="3">
        <v>2</v>
      </c>
      <c r="J526" s="3" t="s">
        <v>23</v>
      </c>
      <c r="K526" s="3" t="s">
        <v>32</v>
      </c>
      <c r="L526" s="3">
        <v>67</v>
      </c>
      <c r="M526" s="3" t="str">
        <f t="shared" si="8"/>
        <v>Old Age</v>
      </c>
      <c r="N526" s="3" t="s">
        <v>18</v>
      </c>
    </row>
    <row r="527" spans="1:14" x14ac:dyDescent="0.25">
      <c r="A527" s="3">
        <v>16791</v>
      </c>
      <c r="B527" s="3" t="s">
        <v>37</v>
      </c>
      <c r="C527" s="3" t="s">
        <v>39</v>
      </c>
      <c r="D527" s="4">
        <v>60000</v>
      </c>
      <c r="E527" s="3">
        <v>5</v>
      </c>
      <c r="F527" s="3" t="s">
        <v>13</v>
      </c>
      <c r="G527" s="3" t="s">
        <v>28</v>
      </c>
      <c r="H527" s="3" t="s">
        <v>15</v>
      </c>
      <c r="I527" s="3">
        <v>3</v>
      </c>
      <c r="J527" s="3" t="s">
        <v>46</v>
      </c>
      <c r="K527" s="3" t="s">
        <v>32</v>
      </c>
      <c r="L527" s="3">
        <v>59</v>
      </c>
      <c r="M527" s="3" t="str">
        <f t="shared" si="8"/>
        <v>Old Age</v>
      </c>
      <c r="N527" s="3" t="s">
        <v>15</v>
      </c>
    </row>
    <row r="528" spans="1:14" x14ac:dyDescent="0.25">
      <c r="A528" s="3">
        <v>15382</v>
      </c>
      <c r="B528" s="3" t="s">
        <v>36</v>
      </c>
      <c r="C528" s="3" t="s">
        <v>38</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39</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38</v>
      </c>
      <c r="D530" s="4">
        <v>30000</v>
      </c>
      <c r="E530" s="3">
        <v>0</v>
      </c>
      <c r="F530" s="3" t="s">
        <v>19</v>
      </c>
      <c r="G530" s="3" t="s">
        <v>14</v>
      </c>
      <c r="H530" s="3" t="s">
        <v>15</v>
      </c>
      <c r="I530" s="3">
        <v>1</v>
      </c>
      <c r="J530" s="3" t="s">
        <v>23</v>
      </c>
      <c r="K530" s="3" t="s">
        <v>32</v>
      </c>
      <c r="L530" s="3">
        <v>28</v>
      </c>
      <c r="M530" s="3" t="str">
        <f t="shared" si="8"/>
        <v>Youth</v>
      </c>
      <c r="N530" s="3" t="s">
        <v>18</v>
      </c>
    </row>
    <row r="531" spans="1:14" x14ac:dyDescent="0.25">
      <c r="A531" s="3">
        <v>13233</v>
      </c>
      <c r="B531" s="3" t="s">
        <v>36</v>
      </c>
      <c r="C531" s="3" t="s">
        <v>39</v>
      </c>
      <c r="D531" s="4">
        <v>60000</v>
      </c>
      <c r="E531" s="3">
        <v>2</v>
      </c>
      <c r="F531" s="3" t="s">
        <v>19</v>
      </c>
      <c r="G531" s="3" t="s">
        <v>21</v>
      </c>
      <c r="H531" s="3" t="s">
        <v>15</v>
      </c>
      <c r="I531" s="3">
        <v>1</v>
      </c>
      <c r="J531" s="3" t="s">
        <v>46</v>
      </c>
      <c r="K531" s="3" t="s">
        <v>32</v>
      </c>
      <c r="L531" s="3">
        <v>57</v>
      </c>
      <c r="M531" s="3" t="str">
        <f t="shared" si="8"/>
        <v>Old Age</v>
      </c>
      <c r="N531" s="3" t="s">
        <v>15</v>
      </c>
    </row>
    <row r="532" spans="1:14" x14ac:dyDescent="0.25">
      <c r="A532" s="3">
        <v>25909</v>
      </c>
      <c r="B532" s="3" t="s">
        <v>36</v>
      </c>
      <c r="C532" s="3" t="s">
        <v>39</v>
      </c>
      <c r="D532" s="4">
        <v>60000</v>
      </c>
      <c r="E532" s="3">
        <v>0</v>
      </c>
      <c r="F532" s="3" t="s">
        <v>19</v>
      </c>
      <c r="G532" s="3" t="s">
        <v>14</v>
      </c>
      <c r="H532" s="3" t="s">
        <v>15</v>
      </c>
      <c r="I532" s="3">
        <v>1</v>
      </c>
      <c r="J532" s="3" t="s">
        <v>23</v>
      </c>
      <c r="K532" s="3" t="s">
        <v>32</v>
      </c>
      <c r="L532" s="3">
        <v>27</v>
      </c>
      <c r="M532" s="3" t="str">
        <f t="shared" si="8"/>
        <v>Youth</v>
      </c>
      <c r="N532" s="3" t="s">
        <v>15</v>
      </c>
    </row>
    <row r="533" spans="1:14" x14ac:dyDescent="0.25">
      <c r="A533" s="3">
        <v>14092</v>
      </c>
      <c r="B533" s="3" t="s">
        <v>37</v>
      </c>
      <c r="C533" s="3" t="s">
        <v>39</v>
      </c>
      <c r="D533" s="4">
        <v>30000</v>
      </c>
      <c r="E533" s="3">
        <v>0</v>
      </c>
      <c r="F533" s="3" t="s">
        <v>29</v>
      </c>
      <c r="G533" s="3" t="s">
        <v>20</v>
      </c>
      <c r="H533" s="3" t="s">
        <v>15</v>
      </c>
      <c r="I533" s="3">
        <v>2</v>
      </c>
      <c r="J533" s="3" t="s">
        <v>23</v>
      </c>
      <c r="K533" s="3" t="s">
        <v>32</v>
      </c>
      <c r="L533" s="3">
        <v>28</v>
      </c>
      <c r="M533" s="3" t="str">
        <f t="shared" si="8"/>
        <v>Youth</v>
      </c>
      <c r="N533" s="3" t="s">
        <v>18</v>
      </c>
    </row>
    <row r="534" spans="1:14" x14ac:dyDescent="0.25">
      <c r="A534" s="3">
        <v>29143</v>
      </c>
      <c r="B534" s="3" t="s">
        <v>37</v>
      </c>
      <c r="C534" s="3" t="s">
        <v>38</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39</v>
      </c>
      <c r="D535" s="4">
        <v>60000</v>
      </c>
      <c r="E535" s="3">
        <v>3</v>
      </c>
      <c r="F535" s="3" t="s">
        <v>13</v>
      </c>
      <c r="G535" s="3" t="s">
        <v>28</v>
      </c>
      <c r="H535" s="3" t="s">
        <v>15</v>
      </c>
      <c r="I535" s="3">
        <v>2</v>
      </c>
      <c r="J535" s="3" t="s">
        <v>46</v>
      </c>
      <c r="K535" s="3" t="s">
        <v>32</v>
      </c>
      <c r="L535" s="3">
        <v>66</v>
      </c>
      <c r="M535" s="3" t="str">
        <f t="shared" si="8"/>
        <v>Old Age</v>
      </c>
      <c r="N535" s="3" t="s">
        <v>18</v>
      </c>
    </row>
    <row r="536" spans="1:14" x14ac:dyDescent="0.25">
      <c r="A536" s="3">
        <v>24637</v>
      </c>
      <c r="B536" s="3" t="s">
        <v>36</v>
      </c>
      <c r="C536" s="3" t="s">
        <v>39</v>
      </c>
      <c r="D536" s="4">
        <v>40000</v>
      </c>
      <c r="E536" s="3">
        <v>4</v>
      </c>
      <c r="F536" s="3" t="s">
        <v>27</v>
      </c>
      <c r="G536" s="3" t="s">
        <v>21</v>
      </c>
      <c r="H536" s="3" t="s">
        <v>15</v>
      </c>
      <c r="I536" s="3">
        <v>2</v>
      </c>
      <c r="J536" s="3" t="s">
        <v>46</v>
      </c>
      <c r="K536" s="3" t="s">
        <v>32</v>
      </c>
      <c r="L536" s="3">
        <v>64</v>
      </c>
      <c r="M536" s="3" t="str">
        <f t="shared" si="8"/>
        <v>Old Age</v>
      </c>
      <c r="N536" s="3" t="s">
        <v>18</v>
      </c>
    </row>
    <row r="537" spans="1:14" x14ac:dyDescent="0.25">
      <c r="A537" s="3">
        <v>23893</v>
      </c>
      <c r="B537" s="3" t="s">
        <v>36</v>
      </c>
      <c r="C537" s="3" t="s">
        <v>39</v>
      </c>
      <c r="D537" s="4">
        <v>50000</v>
      </c>
      <c r="E537" s="3">
        <v>3</v>
      </c>
      <c r="F537" s="3" t="s">
        <v>13</v>
      </c>
      <c r="G537" s="3" t="s">
        <v>14</v>
      </c>
      <c r="H537" s="3" t="s">
        <v>15</v>
      </c>
      <c r="I537" s="3">
        <v>3</v>
      </c>
      <c r="J537" s="3" t="s">
        <v>46</v>
      </c>
      <c r="K537" s="3" t="s">
        <v>32</v>
      </c>
      <c r="L537" s="3">
        <v>41</v>
      </c>
      <c r="M537" s="3" t="str">
        <f t="shared" si="8"/>
        <v>Middle Age</v>
      </c>
      <c r="N537" s="3" t="s">
        <v>18</v>
      </c>
    </row>
    <row r="538" spans="1:14" x14ac:dyDescent="0.25">
      <c r="A538" s="3">
        <v>13907</v>
      </c>
      <c r="B538" s="3" t="s">
        <v>37</v>
      </c>
      <c r="C538" s="3" t="s">
        <v>38</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38</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38</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38</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38</v>
      </c>
      <c r="D542" s="4">
        <v>70000</v>
      </c>
      <c r="E542" s="3">
        <v>3</v>
      </c>
      <c r="F542" s="3" t="s">
        <v>31</v>
      </c>
      <c r="G542" s="3" t="s">
        <v>28</v>
      </c>
      <c r="H542" s="3" t="s">
        <v>15</v>
      </c>
      <c r="I542" s="3">
        <v>2</v>
      </c>
      <c r="J542" s="3" t="s">
        <v>26</v>
      </c>
      <c r="K542" s="3" t="s">
        <v>32</v>
      </c>
      <c r="L542" s="3">
        <v>52</v>
      </c>
      <c r="M542" s="3" t="str">
        <f t="shared" si="8"/>
        <v>Old Age</v>
      </c>
      <c r="N542" s="3" t="s">
        <v>18</v>
      </c>
    </row>
    <row r="543" spans="1:14" x14ac:dyDescent="0.25">
      <c r="A543" s="3">
        <v>25375</v>
      </c>
      <c r="B543" s="3" t="s">
        <v>36</v>
      </c>
      <c r="C543" s="3" t="s">
        <v>39</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39</v>
      </c>
      <c r="D544" s="4">
        <v>40000</v>
      </c>
      <c r="E544" s="3">
        <v>0</v>
      </c>
      <c r="F544" s="3" t="s">
        <v>27</v>
      </c>
      <c r="G544" s="3" t="s">
        <v>14</v>
      </c>
      <c r="H544" s="3" t="s">
        <v>15</v>
      </c>
      <c r="I544" s="3">
        <v>2</v>
      </c>
      <c r="J544" s="3" t="s">
        <v>23</v>
      </c>
      <c r="K544" s="3" t="s">
        <v>32</v>
      </c>
      <c r="L544" s="3">
        <v>29</v>
      </c>
      <c r="M544" s="3" t="str">
        <f t="shared" si="8"/>
        <v>Youth</v>
      </c>
      <c r="N544" s="3" t="s">
        <v>18</v>
      </c>
    </row>
    <row r="545" spans="1:14" x14ac:dyDescent="0.25">
      <c r="A545" s="3">
        <v>25898</v>
      </c>
      <c r="B545" s="3" t="s">
        <v>36</v>
      </c>
      <c r="C545" s="3" t="s">
        <v>38</v>
      </c>
      <c r="D545" s="4">
        <v>70000</v>
      </c>
      <c r="E545" s="3">
        <v>2</v>
      </c>
      <c r="F545" s="3" t="s">
        <v>27</v>
      </c>
      <c r="G545" s="3" t="s">
        <v>21</v>
      </c>
      <c r="H545" s="3" t="s">
        <v>15</v>
      </c>
      <c r="I545" s="3">
        <v>2</v>
      </c>
      <c r="J545" s="3" t="s">
        <v>22</v>
      </c>
      <c r="K545" s="3" t="s">
        <v>32</v>
      </c>
      <c r="L545" s="3">
        <v>53</v>
      </c>
      <c r="M545" s="3" t="str">
        <f t="shared" si="8"/>
        <v>Old Age</v>
      </c>
      <c r="N545" s="3" t="s">
        <v>18</v>
      </c>
    </row>
    <row r="546" spans="1:14" x14ac:dyDescent="0.25">
      <c r="A546" s="3">
        <v>24397</v>
      </c>
      <c r="B546" s="3" t="s">
        <v>37</v>
      </c>
      <c r="C546" s="3" t="s">
        <v>39</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39</v>
      </c>
      <c r="D547" s="4">
        <v>60000</v>
      </c>
      <c r="E547" s="3">
        <v>0</v>
      </c>
      <c r="F547" s="3" t="s">
        <v>19</v>
      </c>
      <c r="G547" s="3" t="s">
        <v>14</v>
      </c>
      <c r="H547" s="3" t="s">
        <v>18</v>
      </c>
      <c r="I547" s="3">
        <v>2</v>
      </c>
      <c r="J547" s="3" t="s">
        <v>26</v>
      </c>
      <c r="K547" s="3" t="s">
        <v>32</v>
      </c>
      <c r="L547" s="3">
        <v>29</v>
      </c>
      <c r="M547" s="3" t="str">
        <f t="shared" si="8"/>
        <v>Youth</v>
      </c>
      <c r="N547" s="3" t="s">
        <v>18</v>
      </c>
    </row>
    <row r="548" spans="1:14" x14ac:dyDescent="0.25">
      <c r="A548" s="3">
        <v>15529</v>
      </c>
      <c r="B548" s="3" t="s">
        <v>36</v>
      </c>
      <c r="C548" s="3" t="s">
        <v>39</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39</v>
      </c>
      <c r="D549" s="4">
        <v>60000</v>
      </c>
      <c r="E549" s="3">
        <v>2</v>
      </c>
      <c r="F549" s="3" t="s">
        <v>27</v>
      </c>
      <c r="G549" s="3" t="s">
        <v>21</v>
      </c>
      <c r="H549" s="3" t="s">
        <v>15</v>
      </c>
      <c r="I549" s="3">
        <v>2</v>
      </c>
      <c r="J549" s="3" t="s">
        <v>22</v>
      </c>
      <c r="K549" s="3" t="s">
        <v>32</v>
      </c>
      <c r="L549" s="3">
        <v>55</v>
      </c>
      <c r="M549" s="3" t="str">
        <f t="shared" si="8"/>
        <v>Old Age</v>
      </c>
      <c r="N549" s="3" t="s">
        <v>15</v>
      </c>
    </row>
    <row r="550" spans="1:14" x14ac:dyDescent="0.25">
      <c r="A550" s="3">
        <v>18674</v>
      </c>
      <c r="B550" s="3" t="s">
        <v>37</v>
      </c>
      <c r="C550" s="3" t="s">
        <v>38</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38</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38</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38</v>
      </c>
      <c r="D553" s="4">
        <v>50000</v>
      </c>
      <c r="E553" s="3">
        <v>4</v>
      </c>
      <c r="F553" s="3" t="s">
        <v>13</v>
      </c>
      <c r="G553" s="3" t="s">
        <v>28</v>
      </c>
      <c r="H553" s="3" t="s">
        <v>15</v>
      </c>
      <c r="I553" s="3">
        <v>2</v>
      </c>
      <c r="J553" s="3" t="s">
        <v>46</v>
      </c>
      <c r="K553" s="3" t="s">
        <v>32</v>
      </c>
      <c r="L553" s="3">
        <v>63</v>
      </c>
      <c r="M553" s="3" t="str">
        <f t="shared" si="8"/>
        <v>Old Age</v>
      </c>
      <c r="N553" s="3" t="s">
        <v>18</v>
      </c>
    </row>
    <row r="554" spans="1:14" x14ac:dyDescent="0.25">
      <c r="A554" s="3">
        <v>14417</v>
      </c>
      <c r="B554" s="3" t="s">
        <v>37</v>
      </c>
      <c r="C554" s="3" t="s">
        <v>39</v>
      </c>
      <c r="D554" s="4">
        <v>60000</v>
      </c>
      <c r="E554" s="3">
        <v>3</v>
      </c>
      <c r="F554" s="3" t="s">
        <v>27</v>
      </c>
      <c r="G554" s="3" t="s">
        <v>21</v>
      </c>
      <c r="H554" s="3" t="s">
        <v>15</v>
      </c>
      <c r="I554" s="3">
        <v>2</v>
      </c>
      <c r="J554" s="3" t="s">
        <v>46</v>
      </c>
      <c r="K554" s="3" t="s">
        <v>32</v>
      </c>
      <c r="L554" s="3">
        <v>54</v>
      </c>
      <c r="M554" s="3" t="str">
        <f t="shared" si="8"/>
        <v>Old Age</v>
      </c>
      <c r="N554" s="3" t="s">
        <v>15</v>
      </c>
    </row>
    <row r="555" spans="1:14" x14ac:dyDescent="0.25">
      <c r="A555" s="3">
        <v>17533</v>
      </c>
      <c r="B555" s="3" t="s">
        <v>36</v>
      </c>
      <c r="C555" s="3" t="s">
        <v>39</v>
      </c>
      <c r="D555" s="4">
        <v>40000</v>
      </c>
      <c r="E555" s="3">
        <v>3</v>
      </c>
      <c r="F555" s="3" t="s">
        <v>19</v>
      </c>
      <c r="G555" s="3" t="s">
        <v>21</v>
      </c>
      <c r="H555" s="3" t="s">
        <v>18</v>
      </c>
      <c r="I555" s="3">
        <v>2</v>
      </c>
      <c r="J555" s="3" t="s">
        <v>23</v>
      </c>
      <c r="K555" s="3" t="s">
        <v>32</v>
      </c>
      <c r="L555" s="3">
        <v>73</v>
      </c>
      <c r="M555" s="3" t="str">
        <f t="shared" si="8"/>
        <v>Old Age</v>
      </c>
      <c r="N555" s="3" t="s">
        <v>15</v>
      </c>
    </row>
    <row r="556" spans="1:14" x14ac:dyDescent="0.25">
      <c r="A556" s="3">
        <v>18580</v>
      </c>
      <c r="B556" s="3" t="s">
        <v>36</v>
      </c>
      <c r="C556" s="3" t="s">
        <v>38</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39</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39</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38</v>
      </c>
      <c r="D559" s="4">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38</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38</v>
      </c>
      <c r="D561" s="4">
        <v>60000</v>
      </c>
      <c r="E561" s="3">
        <v>2</v>
      </c>
      <c r="F561" s="3" t="s">
        <v>13</v>
      </c>
      <c r="G561" s="3" t="s">
        <v>28</v>
      </c>
      <c r="H561" s="3" t="s">
        <v>15</v>
      </c>
      <c r="I561" s="3">
        <v>0</v>
      </c>
      <c r="J561" s="3" t="s">
        <v>46</v>
      </c>
      <c r="K561" s="3" t="s">
        <v>32</v>
      </c>
      <c r="L561" s="3">
        <v>58</v>
      </c>
      <c r="M561" s="3" t="str">
        <f t="shared" si="8"/>
        <v>Old Age</v>
      </c>
      <c r="N561" s="3" t="s">
        <v>18</v>
      </c>
    </row>
    <row r="562" spans="1:14" x14ac:dyDescent="0.25">
      <c r="A562" s="3">
        <v>18577</v>
      </c>
      <c r="B562" s="3" t="s">
        <v>36</v>
      </c>
      <c r="C562" s="3" t="s">
        <v>38</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38</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38</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38</v>
      </c>
      <c r="D565" s="4">
        <v>30000</v>
      </c>
      <c r="E565" s="3">
        <v>0</v>
      </c>
      <c r="F565" s="3" t="s">
        <v>19</v>
      </c>
      <c r="G565" s="3" t="s">
        <v>14</v>
      </c>
      <c r="H565" s="3" t="s">
        <v>15</v>
      </c>
      <c r="I565" s="3">
        <v>1</v>
      </c>
      <c r="J565" s="3" t="s">
        <v>23</v>
      </c>
      <c r="K565" s="3" t="s">
        <v>32</v>
      </c>
      <c r="L565" s="3">
        <v>28</v>
      </c>
      <c r="M565" s="3" t="str">
        <f t="shared" si="8"/>
        <v>Youth</v>
      </c>
      <c r="N565" s="3" t="s">
        <v>18</v>
      </c>
    </row>
    <row r="566" spans="1:14" x14ac:dyDescent="0.25">
      <c r="A566" s="3">
        <v>17369</v>
      </c>
      <c r="B566" s="3" t="s">
        <v>37</v>
      </c>
      <c r="C566" s="3" t="s">
        <v>39</v>
      </c>
      <c r="D566" s="4">
        <v>30000</v>
      </c>
      <c r="E566" s="3">
        <v>0</v>
      </c>
      <c r="F566" s="3" t="s">
        <v>19</v>
      </c>
      <c r="G566" s="3" t="s">
        <v>14</v>
      </c>
      <c r="H566" s="3" t="s">
        <v>15</v>
      </c>
      <c r="I566" s="3">
        <v>1</v>
      </c>
      <c r="J566" s="3" t="s">
        <v>23</v>
      </c>
      <c r="K566" s="3" t="s">
        <v>32</v>
      </c>
      <c r="L566" s="3">
        <v>27</v>
      </c>
      <c r="M566" s="3" t="str">
        <f t="shared" si="8"/>
        <v>Youth</v>
      </c>
      <c r="N566" s="3" t="s">
        <v>18</v>
      </c>
    </row>
    <row r="567" spans="1:14" x14ac:dyDescent="0.25">
      <c r="A567" s="3">
        <v>14495</v>
      </c>
      <c r="B567" s="3" t="s">
        <v>36</v>
      </c>
      <c r="C567" s="3" t="s">
        <v>39</v>
      </c>
      <c r="D567" s="4">
        <v>40000</v>
      </c>
      <c r="E567" s="3">
        <v>3</v>
      </c>
      <c r="F567" s="3" t="s">
        <v>19</v>
      </c>
      <c r="G567" s="3" t="s">
        <v>21</v>
      </c>
      <c r="H567" s="3" t="s">
        <v>18</v>
      </c>
      <c r="I567" s="3">
        <v>2</v>
      </c>
      <c r="J567" s="3" t="s">
        <v>23</v>
      </c>
      <c r="K567" s="3" t="s">
        <v>32</v>
      </c>
      <c r="L567" s="3">
        <v>54</v>
      </c>
      <c r="M567" s="3" t="str">
        <f t="shared" si="8"/>
        <v>Old Age</v>
      </c>
      <c r="N567" s="3" t="s">
        <v>15</v>
      </c>
    </row>
    <row r="568" spans="1:14" x14ac:dyDescent="0.25">
      <c r="A568" s="3">
        <v>18847</v>
      </c>
      <c r="B568" s="3" t="s">
        <v>36</v>
      </c>
      <c r="C568" s="3" t="s">
        <v>38</v>
      </c>
      <c r="D568" s="4">
        <v>60000</v>
      </c>
      <c r="E568" s="3">
        <v>2</v>
      </c>
      <c r="F568" s="3" t="s">
        <v>31</v>
      </c>
      <c r="G568" s="3" t="s">
        <v>28</v>
      </c>
      <c r="H568" s="3" t="s">
        <v>15</v>
      </c>
      <c r="I568" s="3">
        <v>2</v>
      </c>
      <c r="J568" s="3" t="s">
        <v>23</v>
      </c>
      <c r="K568" s="3" t="s">
        <v>32</v>
      </c>
      <c r="L568" s="3">
        <v>70</v>
      </c>
      <c r="M568" s="3" t="str">
        <f t="shared" si="8"/>
        <v>Old Age</v>
      </c>
      <c r="N568" s="3" t="s">
        <v>18</v>
      </c>
    </row>
    <row r="569" spans="1:14" x14ac:dyDescent="0.25">
      <c r="A569" s="3">
        <v>14754</v>
      </c>
      <c r="B569" s="3" t="s">
        <v>36</v>
      </c>
      <c r="C569" s="3" t="s">
        <v>39</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39</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39</v>
      </c>
      <c r="D571" s="4">
        <v>50000</v>
      </c>
      <c r="E571" s="3">
        <v>3</v>
      </c>
      <c r="F571" s="3" t="s">
        <v>31</v>
      </c>
      <c r="G571" s="3" t="s">
        <v>28</v>
      </c>
      <c r="H571" s="3" t="s">
        <v>15</v>
      </c>
      <c r="I571" s="3">
        <v>2</v>
      </c>
      <c r="J571" s="3" t="s">
        <v>46</v>
      </c>
      <c r="K571" s="3" t="s">
        <v>32</v>
      </c>
      <c r="L571" s="3">
        <v>69</v>
      </c>
      <c r="M571" s="3" t="str">
        <f t="shared" si="8"/>
        <v>Old Age</v>
      </c>
      <c r="N571" s="3" t="s">
        <v>18</v>
      </c>
    </row>
    <row r="572" spans="1:14" x14ac:dyDescent="0.25">
      <c r="A572" s="3">
        <v>20370</v>
      </c>
      <c r="B572" s="3" t="s">
        <v>36</v>
      </c>
      <c r="C572" s="3" t="s">
        <v>39</v>
      </c>
      <c r="D572" s="4">
        <v>70000</v>
      </c>
      <c r="E572" s="3">
        <v>3</v>
      </c>
      <c r="F572" s="3" t="s">
        <v>29</v>
      </c>
      <c r="G572" s="3" t="s">
        <v>14</v>
      </c>
      <c r="H572" s="3" t="s">
        <v>15</v>
      </c>
      <c r="I572" s="3">
        <v>2</v>
      </c>
      <c r="J572" s="3" t="s">
        <v>23</v>
      </c>
      <c r="K572" s="3" t="s">
        <v>32</v>
      </c>
      <c r="L572" s="3">
        <v>52</v>
      </c>
      <c r="M572" s="3" t="str">
        <f t="shared" si="8"/>
        <v>Old Age</v>
      </c>
      <c r="N572" s="3" t="s">
        <v>18</v>
      </c>
    </row>
    <row r="573" spans="1:14" x14ac:dyDescent="0.25">
      <c r="A573" s="3">
        <v>20528</v>
      </c>
      <c r="B573" s="3" t="s">
        <v>36</v>
      </c>
      <c r="C573" s="3" t="s">
        <v>39</v>
      </c>
      <c r="D573" s="4">
        <v>40000</v>
      </c>
      <c r="E573" s="3">
        <v>2</v>
      </c>
      <c r="F573" s="3" t="s">
        <v>29</v>
      </c>
      <c r="G573" s="3" t="s">
        <v>14</v>
      </c>
      <c r="H573" s="3" t="s">
        <v>15</v>
      </c>
      <c r="I573" s="3">
        <v>2</v>
      </c>
      <c r="J573" s="3" t="s">
        <v>22</v>
      </c>
      <c r="K573" s="3" t="s">
        <v>32</v>
      </c>
      <c r="L573" s="3">
        <v>55</v>
      </c>
      <c r="M573" s="3" t="str">
        <f t="shared" si="8"/>
        <v>Old Age</v>
      </c>
      <c r="N573" s="3" t="s">
        <v>18</v>
      </c>
    </row>
    <row r="574" spans="1:14" x14ac:dyDescent="0.25">
      <c r="A574" s="3">
        <v>23549</v>
      </c>
      <c r="B574" s="3" t="s">
        <v>37</v>
      </c>
      <c r="C574" s="3" t="s">
        <v>39</v>
      </c>
      <c r="D574" s="4">
        <v>30000</v>
      </c>
      <c r="E574" s="3">
        <v>0</v>
      </c>
      <c r="F574" s="3" t="s">
        <v>27</v>
      </c>
      <c r="G574" s="3" t="s">
        <v>14</v>
      </c>
      <c r="H574" s="3" t="s">
        <v>15</v>
      </c>
      <c r="I574" s="3">
        <v>2</v>
      </c>
      <c r="J574" s="3" t="s">
        <v>23</v>
      </c>
      <c r="K574" s="3" t="s">
        <v>32</v>
      </c>
      <c r="L574" s="3">
        <v>30</v>
      </c>
      <c r="M574" s="3" t="str">
        <f t="shared" si="8"/>
        <v>Youth</v>
      </c>
      <c r="N574" s="3" t="s">
        <v>18</v>
      </c>
    </row>
    <row r="575" spans="1:14" x14ac:dyDescent="0.25">
      <c r="A575" s="3">
        <v>21751</v>
      </c>
      <c r="B575" s="3" t="s">
        <v>36</v>
      </c>
      <c r="C575" s="3" t="s">
        <v>39</v>
      </c>
      <c r="D575" s="4">
        <v>60000</v>
      </c>
      <c r="E575" s="3">
        <v>3</v>
      </c>
      <c r="F575" s="3" t="s">
        <v>31</v>
      </c>
      <c r="G575" s="3" t="s">
        <v>28</v>
      </c>
      <c r="H575" s="3" t="s">
        <v>15</v>
      </c>
      <c r="I575" s="3">
        <v>2</v>
      </c>
      <c r="J575" s="3" t="s">
        <v>26</v>
      </c>
      <c r="K575" s="3" t="s">
        <v>32</v>
      </c>
      <c r="L575" s="3">
        <v>63</v>
      </c>
      <c r="M575" s="3" t="str">
        <f t="shared" si="8"/>
        <v>Old Age</v>
      </c>
      <c r="N575" s="3" t="s">
        <v>18</v>
      </c>
    </row>
    <row r="576" spans="1:14" x14ac:dyDescent="0.25">
      <c r="A576" s="3">
        <v>21266</v>
      </c>
      <c r="B576" s="3" t="s">
        <v>37</v>
      </c>
      <c r="C576" s="3" t="s">
        <v>38</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39</v>
      </c>
      <c r="D577" s="4">
        <v>60000</v>
      </c>
      <c r="E577" s="3">
        <v>2</v>
      </c>
      <c r="F577" s="3" t="s">
        <v>19</v>
      </c>
      <c r="G577" s="3" t="s">
        <v>21</v>
      </c>
      <c r="H577" s="3" t="s">
        <v>15</v>
      </c>
      <c r="I577" s="3">
        <v>1</v>
      </c>
      <c r="J577" s="3" t="s">
        <v>46</v>
      </c>
      <c r="K577" s="3" t="s">
        <v>32</v>
      </c>
      <c r="L577" s="3">
        <v>56</v>
      </c>
      <c r="M577" s="3" t="str">
        <f t="shared" si="8"/>
        <v>Old Age</v>
      </c>
      <c r="N577" s="3" t="s">
        <v>18</v>
      </c>
    </row>
    <row r="578" spans="1:14" x14ac:dyDescent="0.25">
      <c r="A578" s="3">
        <v>18752</v>
      </c>
      <c r="B578" s="3" t="s">
        <v>37</v>
      </c>
      <c r="C578" s="3" t="s">
        <v>38</v>
      </c>
      <c r="D578" s="4">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39</v>
      </c>
      <c r="D579" s="4">
        <v>120000</v>
      </c>
      <c r="E579" s="3">
        <v>1</v>
      </c>
      <c r="F579" s="3" t="s">
        <v>13</v>
      </c>
      <c r="G579" s="3" t="s">
        <v>28</v>
      </c>
      <c r="H579" s="3" t="s">
        <v>15</v>
      </c>
      <c r="I579" s="3">
        <v>4</v>
      </c>
      <c r="J579" s="3" t="s">
        <v>16</v>
      </c>
      <c r="K579" s="3" t="s">
        <v>32</v>
      </c>
      <c r="L579" s="3">
        <v>38</v>
      </c>
      <c r="M579" s="3" t="str">
        <f t="shared" ref="M579:M642" si="9">IF(L579&gt;51,"Old Age",IF(L579&gt;=31,"Middle Age",IF(L579&lt;31,"Youth","Invalid")))</f>
        <v>Middle Age</v>
      </c>
      <c r="N579" s="3" t="s">
        <v>18</v>
      </c>
    </row>
    <row r="580" spans="1:14" x14ac:dyDescent="0.25">
      <c r="A580" s="3">
        <v>15313</v>
      </c>
      <c r="B580" s="3" t="s">
        <v>36</v>
      </c>
      <c r="C580" s="3" t="s">
        <v>39</v>
      </c>
      <c r="D580" s="4">
        <v>60000</v>
      </c>
      <c r="E580" s="3">
        <v>4</v>
      </c>
      <c r="F580" s="3" t="s">
        <v>13</v>
      </c>
      <c r="G580" s="3" t="s">
        <v>28</v>
      </c>
      <c r="H580" s="3" t="s">
        <v>15</v>
      </c>
      <c r="I580" s="3">
        <v>2</v>
      </c>
      <c r="J580" s="3" t="s">
        <v>22</v>
      </c>
      <c r="K580" s="3" t="s">
        <v>32</v>
      </c>
      <c r="L580" s="3">
        <v>59</v>
      </c>
      <c r="M580" s="3" t="str">
        <f t="shared" si="9"/>
        <v>Old Age</v>
      </c>
      <c r="N580" s="3" t="s">
        <v>18</v>
      </c>
    </row>
    <row r="581" spans="1:14" x14ac:dyDescent="0.25">
      <c r="A581" s="3">
        <v>25329</v>
      </c>
      <c r="B581" s="3" t="s">
        <v>37</v>
      </c>
      <c r="C581" s="3" t="s">
        <v>38</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38</v>
      </c>
      <c r="D582" s="4">
        <v>60000</v>
      </c>
      <c r="E582" s="3">
        <v>3</v>
      </c>
      <c r="F582" s="3" t="s">
        <v>31</v>
      </c>
      <c r="G582" s="3" t="s">
        <v>28</v>
      </c>
      <c r="H582" s="3" t="s">
        <v>15</v>
      </c>
      <c r="I582" s="3">
        <v>2</v>
      </c>
      <c r="J582" s="3" t="s">
        <v>46</v>
      </c>
      <c r="K582" s="3" t="s">
        <v>32</v>
      </c>
      <c r="L582" s="3">
        <v>69</v>
      </c>
      <c r="M582" s="3" t="str">
        <f t="shared" si="9"/>
        <v>Old Age</v>
      </c>
      <c r="N582" s="3" t="s">
        <v>18</v>
      </c>
    </row>
    <row r="583" spans="1:14" x14ac:dyDescent="0.25">
      <c r="A583" s="3">
        <v>23089</v>
      </c>
      <c r="B583" s="3" t="s">
        <v>36</v>
      </c>
      <c r="C583" s="3" t="s">
        <v>39</v>
      </c>
      <c r="D583" s="4">
        <v>40000</v>
      </c>
      <c r="E583" s="3">
        <v>0</v>
      </c>
      <c r="F583" s="3" t="s">
        <v>19</v>
      </c>
      <c r="G583" s="3" t="s">
        <v>14</v>
      </c>
      <c r="H583" s="3" t="s">
        <v>15</v>
      </c>
      <c r="I583" s="3">
        <v>1</v>
      </c>
      <c r="J583" s="3" t="s">
        <v>23</v>
      </c>
      <c r="K583" s="3" t="s">
        <v>32</v>
      </c>
      <c r="L583" s="3">
        <v>28</v>
      </c>
      <c r="M583" s="3" t="str">
        <f t="shared" si="9"/>
        <v>Youth</v>
      </c>
      <c r="N583" s="3" t="s">
        <v>18</v>
      </c>
    </row>
    <row r="584" spans="1:14" x14ac:dyDescent="0.25">
      <c r="A584" s="3">
        <v>13749</v>
      </c>
      <c r="B584" s="3" t="s">
        <v>36</v>
      </c>
      <c r="C584" s="3" t="s">
        <v>39</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39</v>
      </c>
      <c r="D585" s="4">
        <v>60000</v>
      </c>
      <c r="E585" s="3">
        <v>3</v>
      </c>
      <c r="F585" s="3" t="s">
        <v>13</v>
      </c>
      <c r="G585" s="3" t="s">
        <v>28</v>
      </c>
      <c r="H585" s="3" t="s">
        <v>15</v>
      </c>
      <c r="I585" s="3">
        <v>2</v>
      </c>
      <c r="J585" s="3" t="s">
        <v>46</v>
      </c>
      <c r="K585" s="3" t="s">
        <v>32</v>
      </c>
      <c r="L585" s="3">
        <v>66</v>
      </c>
      <c r="M585" s="3" t="str">
        <f t="shared" si="9"/>
        <v>Old Age</v>
      </c>
      <c r="N585" s="3" t="s">
        <v>18</v>
      </c>
    </row>
    <row r="586" spans="1:14" x14ac:dyDescent="0.25">
      <c r="A586" s="3">
        <v>28667</v>
      </c>
      <c r="B586" s="3" t="s">
        <v>37</v>
      </c>
      <c r="C586" s="3" t="s">
        <v>39</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39</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39</v>
      </c>
      <c r="D588" s="4">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38</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38</v>
      </c>
      <c r="D590" s="4">
        <v>90000</v>
      </c>
      <c r="E590" s="3">
        <v>2</v>
      </c>
      <c r="F590" s="3" t="s">
        <v>27</v>
      </c>
      <c r="G590" s="3" t="s">
        <v>21</v>
      </c>
      <c r="H590" s="3" t="s">
        <v>15</v>
      </c>
      <c r="I590" s="3">
        <v>1</v>
      </c>
      <c r="J590" s="3" t="s">
        <v>46</v>
      </c>
      <c r="K590" s="3" t="s">
        <v>32</v>
      </c>
      <c r="L590" s="3">
        <v>51</v>
      </c>
      <c r="M590" s="3" t="str">
        <f t="shared" si="9"/>
        <v>Middle Age</v>
      </c>
      <c r="N590" s="3" t="s">
        <v>15</v>
      </c>
    </row>
    <row r="591" spans="1:14" x14ac:dyDescent="0.25">
      <c r="A591" s="3">
        <v>12100</v>
      </c>
      <c r="B591" s="3" t="s">
        <v>37</v>
      </c>
      <c r="C591" s="3" t="s">
        <v>39</v>
      </c>
      <c r="D591" s="4">
        <v>60000</v>
      </c>
      <c r="E591" s="3">
        <v>2</v>
      </c>
      <c r="F591" s="3" t="s">
        <v>13</v>
      </c>
      <c r="G591" s="3" t="s">
        <v>28</v>
      </c>
      <c r="H591" s="3" t="s">
        <v>15</v>
      </c>
      <c r="I591" s="3">
        <v>0</v>
      </c>
      <c r="J591" s="3" t="s">
        <v>46</v>
      </c>
      <c r="K591" s="3" t="s">
        <v>32</v>
      </c>
      <c r="L591" s="3">
        <v>57</v>
      </c>
      <c r="M591" s="3" t="str">
        <f t="shared" si="9"/>
        <v>Old Age</v>
      </c>
      <c r="N591" s="3" t="s">
        <v>18</v>
      </c>
    </row>
    <row r="592" spans="1:14" x14ac:dyDescent="0.25">
      <c r="A592" s="3">
        <v>23158</v>
      </c>
      <c r="B592" s="3" t="s">
        <v>36</v>
      </c>
      <c r="C592" s="3" t="s">
        <v>38</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39</v>
      </c>
      <c r="D593" s="4">
        <v>40000</v>
      </c>
      <c r="E593" s="3">
        <v>4</v>
      </c>
      <c r="F593" s="3" t="s">
        <v>27</v>
      </c>
      <c r="G593" s="3" t="s">
        <v>21</v>
      </c>
      <c r="H593" s="3" t="s">
        <v>18</v>
      </c>
      <c r="I593" s="3">
        <v>2</v>
      </c>
      <c r="J593" s="3" t="s">
        <v>46</v>
      </c>
      <c r="K593" s="3" t="s">
        <v>32</v>
      </c>
      <c r="L593" s="3">
        <v>61</v>
      </c>
      <c r="M593" s="3" t="str">
        <f t="shared" si="9"/>
        <v>Old Age</v>
      </c>
      <c r="N593" s="3" t="s">
        <v>15</v>
      </c>
    </row>
    <row r="594" spans="1:14" x14ac:dyDescent="0.25">
      <c r="A594" s="3">
        <v>18391</v>
      </c>
      <c r="B594" s="3" t="s">
        <v>37</v>
      </c>
      <c r="C594" s="3" t="s">
        <v>38</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38</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39</v>
      </c>
      <c r="D596" s="4">
        <v>80000</v>
      </c>
      <c r="E596" s="3">
        <v>4</v>
      </c>
      <c r="F596" s="3" t="s">
        <v>31</v>
      </c>
      <c r="G596" s="3" t="s">
        <v>28</v>
      </c>
      <c r="H596" s="3" t="s">
        <v>15</v>
      </c>
      <c r="I596" s="3">
        <v>2</v>
      </c>
      <c r="J596" s="3" t="s">
        <v>23</v>
      </c>
      <c r="K596" s="3" t="s">
        <v>32</v>
      </c>
      <c r="L596" s="3">
        <v>70</v>
      </c>
      <c r="M596" s="3" t="str">
        <f t="shared" si="9"/>
        <v>Old Age</v>
      </c>
      <c r="N596" s="3" t="s">
        <v>18</v>
      </c>
    </row>
    <row r="597" spans="1:14" x14ac:dyDescent="0.25">
      <c r="A597" s="3">
        <v>18058</v>
      </c>
      <c r="B597" s="3" t="s">
        <v>37</v>
      </c>
      <c r="C597" s="3" t="s">
        <v>38</v>
      </c>
      <c r="D597" s="4">
        <v>20000</v>
      </c>
      <c r="E597" s="3">
        <v>3</v>
      </c>
      <c r="F597" s="3" t="s">
        <v>27</v>
      </c>
      <c r="G597" s="3" t="s">
        <v>14</v>
      </c>
      <c r="H597" s="3" t="s">
        <v>15</v>
      </c>
      <c r="I597" s="3">
        <v>2</v>
      </c>
      <c r="J597" s="3" t="s">
        <v>22</v>
      </c>
      <c r="K597" s="3" t="s">
        <v>32</v>
      </c>
      <c r="L597" s="3">
        <v>78</v>
      </c>
      <c r="M597" s="3" t="str">
        <f t="shared" si="9"/>
        <v>Old Age</v>
      </c>
      <c r="N597" s="3" t="s">
        <v>18</v>
      </c>
    </row>
    <row r="598" spans="1:14" x14ac:dyDescent="0.25">
      <c r="A598" s="3">
        <v>20343</v>
      </c>
      <c r="B598" s="3" t="s">
        <v>36</v>
      </c>
      <c r="C598" s="3" t="s">
        <v>38</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39</v>
      </c>
      <c r="D599" s="4">
        <v>40000</v>
      </c>
      <c r="E599" s="3">
        <v>2</v>
      </c>
      <c r="F599" s="3" t="s">
        <v>27</v>
      </c>
      <c r="G599" s="3" t="s">
        <v>21</v>
      </c>
      <c r="H599" s="3" t="s">
        <v>18</v>
      </c>
      <c r="I599" s="3">
        <v>1</v>
      </c>
      <c r="J599" s="3" t="s">
        <v>22</v>
      </c>
      <c r="K599" s="3" t="s">
        <v>32</v>
      </c>
      <c r="L599" s="3">
        <v>58</v>
      </c>
      <c r="M599" s="3" t="str">
        <f t="shared" si="9"/>
        <v>Old Age</v>
      </c>
      <c r="N599" s="3" t="s">
        <v>15</v>
      </c>
    </row>
    <row r="600" spans="1:14" x14ac:dyDescent="0.25">
      <c r="A600" s="3">
        <v>24398</v>
      </c>
      <c r="B600" s="3" t="s">
        <v>36</v>
      </c>
      <c r="C600" s="3" t="s">
        <v>39</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38</v>
      </c>
      <c r="D601" s="4">
        <v>60000</v>
      </c>
      <c r="E601" s="3">
        <v>2</v>
      </c>
      <c r="F601" s="3" t="s">
        <v>19</v>
      </c>
      <c r="G601" s="3" t="s">
        <v>21</v>
      </c>
      <c r="H601" s="3" t="s">
        <v>15</v>
      </c>
      <c r="I601" s="3">
        <v>1</v>
      </c>
      <c r="J601" s="3" t="s">
        <v>22</v>
      </c>
      <c r="K601" s="3" t="s">
        <v>32</v>
      </c>
      <c r="L601" s="3">
        <v>57</v>
      </c>
      <c r="M601" s="3" t="str">
        <f t="shared" si="9"/>
        <v>Old Age</v>
      </c>
      <c r="N601" s="3" t="s">
        <v>15</v>
      </c>
    </row>
    <row r="602" spans="1:14" x14ac:dyDescent="0.25">
      <c r="A602" s="3">
        <v>28609</v>
      </c>
      <c r="B602" s="3" t="s">
        <v>36</v>
      </c>
      <c r="C602" s="3" t="s">
        <v>39</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39</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39</v>
      </c>
      <c r="D604" s="4">
        <v>60000</v>
      </c>
      <c r="E604" s="3">
        <v>2</v>
      </c>
      <c r="F604" s="3" t="s">
        <v>29</v>
      </c>
      <c r="G604" s="3" t="s">
        <v>14</v>
      </c>
      <c r="H604" s="3" t="s">
        <v>15</v>
      </c>
      <c r="I604" s="3">
        <v>2</v>
      </c>
      <c r="J604" s="3" t="s">
        <v>23</v>
      </c>
      <c r="K604" s="3" t="s">
        <v>32</v>
      </c>
      <c r="L604" s="3">
        <v>52</v>
      </c>
      <c r="M604" s="3" t="str">
        <f t="shared" si="9"/>
        <v>Old Age</v>
      </c>
      <c r="N604" s="3" t="s">
        <v>15</v>
      </c>
    </row>
    <row r="605" spans="1:14" x14ac:dyDescent="0.25">
      <c r="A605" s="3">
        <v>20000</v>
      </c>
      <c r="B605" s="3" t="s">
        <v>36</v>
      </c>
      <c r="C605" s="3" t="s">
        <v>39</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39</v>
      </c>
      <c r="D606" s="4">
        <v>40000</v>
      </c>
      <c r="E606" s="3">
        <v>0</v>
      </c>
      <c r="F606" s="3" t="s">
        <v>27</v>
      </c>
      <c r="G606" s="3" t="s">
        <v>14</v>
      </c>
      <c r="H606" s="3" t="s">
        <v>15</v>
      </c>
      <c r="I606" s="3">
        <v>2</v>
      </c>
      <c r="J606" s="3" t="s">
        <v>23</v>
      </c>
      <c r="K606" s="3" t="s">
        <v>32</v>
      </c>
      <c r="L606" s="3">
        <v>27</v>
      </c>
      <c r="M606" s="3" t="str">
        <f t="shared" si="9"/>
        <v>Youth</v>
      </c>
      <c r="N606" s="3" t="s">
        <v>18</v>
      </c>
    </row>
    <row r="607" spans="1:14" x14ac:dyDescent="0.25">
      <c r="A607" s="3">
        <v>17458</v>
      </c>
      <c r="B607" s="3" t="s">
        <v>37</v>
      </c>
      <c r="C607" s="3" t="s">
        <v>39</v>
      </c>
      <c r="D607" s="4">
        <v>70000</v>
      </c>
      <c r="E607" s="3">
        <v>3</v>
      </c>
      <c r="F607" s="3" t="s">
        <v>27</v>
      </c>
      <c r="G607" s="3" t="s">
        <v>21</v>
      </c>
      <c r="H607" s="3" t="s">
        <v>15</v>
      </c>
      <c r="I607" s="3">
        <v>0</v>
      </c>
      <c r="J607" s="3" t="s">
        <v>23</v>
      </c>
      <c r="K607" s="3" t="s">
        <v>32</v>
      </c>
      <c r="L607" s="3">
        <v>52</v>
      </c>
      <c r="M607" s="3" t="str">
        <f t="shared" si="9"/>
        <v>Old Age</v>
      </c>
      <c r="N607" s="3" t="s">
        <v>15</v>
      </c>
    </row>
    <row r="608" spans="1:14" x14ac:dyDescent="0.25">
      <c r="A608" s="3">
        <v>11644</v>
      </c>
      <c r="B608" s="3" t="s">
        <v>37</v>
      </c>
      <c r="C608" s="3" t="s">
        <v>39</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38</v>
      </c>
      <c r="D609" s="4">
        <v>70000</v>
      </c>
      <c r="E609" s="3">
        <v>5</v>
      </c>
      <c r="F609" s="3" t="s">
        <v>31</v>
      </c>
      <c r="G609" s="3" t="s">
        <v>21</v>
      </c>
      <c r="H609" s="3" t="s">
        <v>15</v>
      </c>
      <c r="I609" s="3">
        <v>3</v>
      </c>
      <c r="J609" s="3" t="s">
        <v>46</v>
      </c>
      <c r="K609" s="3" t="s">
        <v>32</v>
      </c>
      <c r="L609" s="3">
        <v>46</v>
      </c>
      <c r="M609" s="3" t="str">
        <f t="shared" si="9"/>
        <v>Middle Age</v>
      </c>
      <c r="N609" s="3" t="s">
        <v>15</v>
      </c>
    </row>
    <row r="610" spans="1:14" x14ac:dyDescent="0.25">
      <c r="A610" s="3">
        <v>16890</v>
      </c>
      <c r="B610" s="3" t="s">
        <v>36</v>
      </c>
      <c r="C610" s="3" t="s">
        <v>39</v>
      </c>
      <c r="D610" s="4">
        <v>60000</v>
      </c>
      <c r="E610" s="3">
        <v>3</v>
      </c>
      <c r="F610" s="3" t="s">
        <v>29</v>
      </c>
      <c r="G610" s="3" t="s">
        <v>14</v>
      </c>
      <c r="H610" s="3" t="s">
        <v>15</v>
      </c>
      <c r="I610" s="3">
        <v>2</v>
      </c>
      <c r="J610" s="3" t="s">
        <v>23</v>
      </c>
      <c r="K610" s="3" t="s">
        <v>32</v>
      </c>
      <c r="L610" s="3">
        <v>52</v>
      </c>
      <c r="M610" s="3" t="str">
        <f t="shared" si="9"/>
        <v>Old Age</v>
      </c>
      <c r="N610" s="3" t="s">
        <v>15</v>
      </c>
    </row>
    <row r="611" spans="1:14" x14ac:dyDescent="0.25">
      <c r="A611" s="3">
        <v>25983</v>
      </c>
      <c r="B611" s="3" t="s">
        <v>36</v>
      </c>
      <c r="C611" s="3" t="s">
        <v>39</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39</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38</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38</v>
      </c>
      <c r="D614" s="4">
        <v>30000</v>
      </c>
      <c r="E614" s="3">
        <v>0</v>
      </c>
      <c r="F614" s="3" t="s">
        <v>29</v>
      </c>
      <c r="G614" s="3" t="s">
        <v>20</v>
      </c>
      <c r="H614" s="3" t="s">
        <v>15</v>
      </c>
      <c r="I614" s="3">
        <v>2</v>
      </c>
      <c r="J614" s="3" t="s">
        <v>23</v>
      </c>
      <c r="K614" s="3" t="s">
        <v>32</v>
      </c>
      <c r="L614" s="3">
        <v>27</v>
      </c>
      <c r="M614" s="3" t="str">
        <f t="shared" si="9"/>
        <v>Youth</v>
      </c>
      <c r="N614" s="3" t="s">
        <v>18</v>
      </c>
    </row>
    <row r="615" spans="1:14" x14ac:dyDescent="0.25">
      <c r="A615" s="3">
        <v>25184</v>
      </c>
      <c r="B615" s="3" t="s">
        <v>37</v>
      </c>
      <c r="C615" s="3" t="s">
        <v>39</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38</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38</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38</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39</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38</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38</v>
      </c>
      <c r="D621" s="4">
        <v>40000</v>
      </c>
      <c r="E621" s="3">
        <v>0</v>
      </c>
      <c r="F621" s="3" t="s">
        <v>27</v>
      </c>
      <c r="G621" s="3" t="s">
        <v>14</v>
      </c>
      <c r="H621" s="3" t="s">
        <v>15</v>
      </c>
      <c r="I621" s="3">
        <v>1</v>
      </c>
      <c r="J621" s="3" t="s">
        <v>23</v>
      </c>
      <c r="K621" s="3" t="s">
        <v>32</v>
      </c>
      <c r="L621" s="3">
        <v>30</v>
      </c>
      <c r="M621" s="3" t="str">
        <f t="shared" si="9"/>
        <v>Youth</v>
      </c>
      <c r="N621" s="3" t="s">
        <v>18</v>
      </c>
    </row>
    <row r="622" spans="1:14" x14ac:dyDescent="0.25">
      <c r="A622" s="3">
        <v>11259</v>
      </c>
      <c r="B622" s="3" t="s">
        <v>36</v>
      </c>
      <c r="C622" s="3" t="s">
        <v>38</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39</v>
      </c>
      <c r="D623" s="4">
        <v>70000</v>
      </c>
      <c r="E623" s="3">
        <v>4</v>
      </c>
      <c r="F623" s="3" t="s">
        <v>13</v>
      </c>
      <c r="G623" s="3" t="s">
        <v>28</v>
      </c>
      <c r="H623" s="3" t="s">
        <v>15</v>
      </c>
      <c r="I623" s="3">
        <v>1</v>
      </c>
      <c r="J623" s="3" t="s">
        <v>26</v>
      </c>
      <c r="K623" s="3" t="s">
        <v>32</v>
      </c>
      <c r="L623" s="3">
        <v>58</v>
      </c>
      <c r="M623" s="3" t="str">
        <f t="shared" si="9"/>
        <v>Old Age</v>
      </c>
      <c r="N623" s="3" t="s">
        <v>18</v>
      </c>
    </row>
    <row r="624" spans="1:14" x14ac:dyDescent="0.25">
      <c r="A624" s="3">
        <v>25101</v>
      </c>
      <c r="B624" s="3" t="s">
        <v>36</v>
      </c>
      <c r="C624" s="3" t="s">
        <v>39</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38</v>
      </c>
      <c r="D625" s="4">
        <v>70000</v>
      </c>
      <c r="E625" s="3">
        <v>4</v>
      </c>
      <c r="F625" s="3" t="s">
        <v>19</v>
      </c>
      <c r="G625" s="3" t="s">
        <v>21</v>
      </c>
      <c r="H625" s="3" t="s">
        <v>15</v>
      </c>
      <c r="I625" s="3">
        <v>1</v>
      </c>
      <c r="J625" s="3" t="s">
        <v>26</v>
      </c>
      <c r="K625" s="3" t="s">
        <v>32</v>
      </c>
      <c r="L625" s="3">
        <v>55</v>
      </c>
      <c r="M625" s="3" t="str">
        <f t="shared" si="9"/>
        <v>Old Age</v>
      </c>
      <c r="N625" s="3" t="s">
        <v>18</v>
      </c>
    </row>
    <row r="626" spans="1:14" x14ac:dyDescent="0.25">
      <c r="A626" s="3">
        <v>25943</v>
      </c>
      <c r="B626" s="3" t="s">
        <v>37</v>
      </c>
      <c r="C626" s="3" t="s">
        <v>38</v>
      </c>
      <c r="D626" s="4">
        <v>70000</v>
      </c>
      <c r="E626" s="3">
        <v>0</v>
      </c>
      <c r="F626" s="3" t="s">
        <v>19</v>
      </c>
      <c r="G626" s="3" t="s">
        <v>14</v>
      </c>
      <c r="H626" s="3" t="s">
        <v>18</v>
      </c>
      <c r="I626" s="3">
        <v>2</v>
      </c>
      <c r="J626" s="3" t="s">
        <v>16</v>
      </c>
      <c r="K626" s="3" t="s">
        <v>32</v>
      </c>
      <c r="L626" s="3">
        <v>27</v>
      </c>
      <c r="M626" s="3" t="str">
        <f t="shared" si="9"/>
        <v>Youth</v>
      </c>
      <c r="N626" s="3" t="s">
        <v>15</v>
      </c>
    </row>
    <row r="627" spans="1:14" x14ac:dyDescent="0.25">
      <c r="A627" s="3">
        <v>22127</v>
      </c>
      <c r="B627" s="3" t="s">
        <v>36</v>
      </c>
      <c r="C627" s="3" t="s">
        <v>39</v>
      </c>
      <c r="D627" s="4">
        <v>60000</v>
      </c>
      <c r="E627" s="3">
        <v>3</v>
      </c>
      <c r="F627" s="3" t="s">
        <v>31</v>
      </c>
      <c r="G627" s="3" t="s">
        <v>28</v>
      </c>
      <c r="H627" s="3" t="s">
        <v>15</v>
      </c>
      <c r="I627" s="3">
        <v>2</v>
      </c>
      <c r="J627" s="3" t="s">
        <v>26</v>
      </c>
      <c r="K627" s="3" t="s">
        <v>32</v>
      </c>
      <c r="L627" s="3">
        <v>67</v>
      </c>
      <c r="M627" s="3" t="str">
        <f t="shared" si="9"/>
        <v>Old Age</v>
      </c>
      <c r="N627" s="3" t="s">
        <v>18</v>
      </c>
    </row>
    <row r="628" spans="1:14" x14ac:dyDescent="0.25">
      <c r="A628" s="3">
        <v>20414</v>
      </c>
      <c r="B628" s="3" t="s">
        <v>36</v>
      </c>
      <c r="C628" s="3" t="s">
        <v>38</v>
      </c>
      <c r="D628" s="4">
        <v>60000</v>
      </c>
      <c r="E628" s="3">
        <v>0</v>
      </c>
      <c r="F628" s="3" t="s">
        <v>19</v>
      </c>
      <c r="G628" s="3" t="s">
        <v>14</v>
      </c>
      <c r="H628" s="3" t="s">
        <v>15</v>
      </c>
      <c r="I628" s="3">
        <v>2</v>
      </c>
      <c r="J628" s="3" t="s">
        <v>23</v>
      </c>
      <c r="K628" s="3" t="s">
        <v>32</v>
      </c>
      <c r="L628" s="3">
        <v>29</v>
      </c>
      <c r="M628" s="3" t="str">
        <f t="shared" si="9"/>
        <v>Youth</v>
      </c>
      <c r="N628" s="3" t="s">
        <v>18</v>
      </c>
    </row>
    <row r="629" spans="1:14" x14ac:dyDescent="0.25">
      <c r="A629" s="3">
        <v>23672</v>
      </c>
      <c r="B629" s="3" t="s">
        <v>36</v>
      </c>
      <c r="C629" s="3" t="s">
        <v>38</v>
      </c>
      <c r="D629" s="4">
        <v>60000</v>
      </c>
      <c r="E629" s="3">
        <v>3</v>
      </c>
      <c r="F629" s="3" t="s">
        <v>31</v>
      </c>
      <c r="G629" s="3" t="s">
        <v>28</v>
      </c>
      <c r="H629" s="3" t="s">
        <v>15</v>
      </c>
      <c r="I629" s="3">
        <v>2</v>
      </c>
      <c r="J629" s="3" t="s">
        <v>26</v>
      </c>
      <c r="K629" s="3" t="s">
        <v>32</v>
      </c>
      <c r="L629" s="3">
        <v>67</v>
      </c>
      <c r="M629" s="3" t="str">
        <f t="shared" si="9"/>
        <v>Old Age</v>
      </c>
      <c r="N629" s="3" t="s">
        <v>18</v>
      </c>
    </row>
    <row r="630" spans="1:14" x14ac:dyDescent="0.25">
      <c r="A630" s="3">
        <v>29255</v>
      </c>
      <c r="B630" s="3" t="s">
        <v>37</v>
      </c>
      <c r="C630" s="3" t="s">
        <v>39</v>
      </c>
      <c r="D630" s="4">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38</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39</v>
      </c>
      <c r="D632" s="4">
        <v>40000</v>
      </c>
      <c r="E632" s="3">
        <v>0</v>
      </c>
      <c r="F632" s="3" t="s">
        <v>27</v>
      </c>
      <c r="G632" s="3" t="s">
        <v>14</v>
      </c>
      <c r="H632" s="3" t="s">
        <v>18</v>
      </c>
      <c r="I632" s="3">
        <v>2</v>
      </c>
      <c r="J632" s="3" t="s">
        <v>26</v>
      </c>
      <c r="K632" s="3" t="s">
        <v>32</v>
      </c>
      <c r="L632" s="3">
        <v>30</v>
      </c>
      <c r="M632" s="3" t="str">
        <f t="shared" si="9"/>
        <v>Youth</v>
      </c>
      <c r="N632" s="3" t="s">
        <v>18</v>
      </c>
    </row>
    <row r="633" spans="1:14" x14ac:dyDescent="0.25">
      <c r="A633" s="3">
        <v>27643</v>
      </c>
      <c r="B633" s="3" t="s">
        <v>37</v>
      </c>
      <c r="C633" s="3" t="s">
        <v>39</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38</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38</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39</v>
      </c>
      <c r="D636" s="4">
        <v>60000</v>
      </c>
      <c r="E636" s="3">
        <v>3</v>
      </c>
      <c r="F636" s="3" t="s">
        <v>13</v>
      </c>
      <c r="G636" s="3" t="s">
        <v>28</v>
      </c>
      <c r="H636" s="3" t="s">
        <v>18</v>
      </c>
      <c r="I636" s="3">
        <v>2</v>
      </c>
      <c r="J636" s="3" t="s">
        <v>26</v>
      </c>
      <c r="K636" s="3" t="s">
        <v>32</v>
      </c>
      <c r="L636" s="3">
        <v>66</v>
      </c>
      <c r="M636" s="3" t="str">
        <f t="shared" si="9"/>
        <v>Old Age</v>
      </c>
      <c r="N636" s="3" t="s">
        <v>18</v>
      </c>
    </row>
    <row r="637" spans="1:14" x14ac:dyDescent="0.25">
      <c r="A637" s="3">
        <v>24745</v>
      </c>
      <c r="B637" s="3" t="s">
        <v>37</v>
      </c>
      <c r="C637" s="3" t="s">
        <v>38</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38</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39</v>
      </c>
      <c r="D639" s="4">
        <v>40000</v>
      </c>
      <c r="E639" s="3">
        <v>0</v>
      </c>
      <c r="F639" s="3" t="s">
        <v>27</v>
      </c>
      <c r="G639" s="3" t="s">
        <v>14</v>
      </c>
      <c r="H639" s="3" t="s">
        <v>18</v>
      </c>
      <c r="I639" s="3">
        <v>2</v>
      </c>
      <c r="J639" s="3" t="s">
        <v>26</v>
      </c>
      <c r="K639" s="3" t="s">
        <v>32</v>
      </c>
      <c r="L639" s="3">
        <v>30</v>
      </c>
      <c r="M639" s="3" t="str">
        <f t="shared" si="9"/>
        <v>Youth</v>
      </c>
      <c r="N639" s="3" t="s">
        <v>18</v>
      </c>
    </row>
    <row r="640" spans="1:14" x14ac:dyDescent="0.25">
      <c r="A640" s="3">
        <v>18949</v>
      </c>
      <c r="B640" s="3" t="s">
        <v>37</v>
      </c>
      <c r="C640" s="3" t="s">
        <v>39</v>
      </c>
      <c r="D640" s="4">
        <v>70000</v>
      </c>
      <c r="E640" s="3">
        <v>0</v>
      </c>
      <c r="F640" s="3" t="s">
        <v>31</v>
      </c>
      <c r="G640" s="3" t="s">
        <v>28</v>
      </c>
      <c r="H640" s="3" t="s">
        <v>15</v>
      </c>
      <c r="I640" s="3">
        <v>2</v>
      </c>
      <c r="J640" s="3" t="s">
        <v>23</v>
      </c>
      <c r="K640" s="3" t="s">
        <v>32</v>
      </c>
      <c r="L640" s="3">
        <v>74</v>
      </c>
      <c r="M640" s="3" t="str">
        <f t="shared" si="9"/>
        <v>Old Age</v>
      </c>
      <c r="N640" s="3" t="s">
        <v>15</v>
      </c>
    </row>
    <row r="641" spans="1:14" x14ac:dyDescent="0.25">
      <c r="A641" s="3">
        <v>14507</v>
      </c>
      <c r="B641" s="3" t="s">
        <v>36</v>
      </c>
      <c r="C641" s="3" t="s">
        <v>39</v>
      </c>
      <c r="D641" s="4">
        <v>100000</v>
      </c>
      <c r="E641" s="3">
        <v>2</v>
      </c>
      <c r="F641" s="3" t="s">
        <v>31</v>
      </c>
      <c r="G641" s="3" t="s">
        <v>28</v>
      </c>
      <c r="H641" s="3" t="s">
        <v>15</v>
      </c>
      <c r="I641" s="3">
        <v>3</v>
      </c>
      <c r="J641" s="3" t="s">
        <v>26</v>
      </c>
      <c r="K641" s="3" t="s">
        <v>32</v>
      </c>
      <c r="L641" s="3">
        <v>65</v>
      </c>
      <c r="M641" s="3" t="str">
        <f t="shared" si="9"/>
        <v>Old Age</v>
      </c>
      <c r="N641" s="3" t="s">
        <v>18</v>
      </c>
    </row>
    <row r="642" spans="1:14" x14ac:dyDescent="0.25">
      <c r="A642" s="3">
        <v>25886</v>
      </c>
      <c r="B642" s="3" t="s">
        <v>36</v>
      </c>
      <c r="C642" s="3" t="s">
        <v>38</v>
      </c>
      <c r="D642" s="4">
        <v>60000</v>
      </c>
      <c r="E642" s="3">
        <v>2</v>
      </c>
      <c r="F642" s="3" t="s">
        <v>19</v>
      </c>
      <c r="G642" s="3" t="s">
        <v>21</v>
      </c>
      <c r="H642" s="3" t="s">
        <v>15</v>
      </c>
      <c r="I642" s="3">
        <v>2</v>
      </c>
      <c r="J642" s="3" t="s">
        <v>22</v>
      </c>
      <c r="K642" s="3" t="s">
        <v>32</v>
      </c>
      <c r="L642" s="3">
        <v>56</v>
      </c>
      <c r="M642" s="3" t="str">
        <f t="shared" si="9"/>
        <v>Old Age</v>
      </c>
      <c r="N642" s="3" t="s">
        <v>15</v>
      </c>
    </row>
    <row r="643" spans="1:14" x14ac:dyDescent="0.25">
      <c r="A643" s="3">
        <v>21441</v>
      </c>
      <c r="B643" s="3" t="s">
        <v>36</v>
      </c>
      <c r="C643" s="3" t="s">
        <v>39</v>
      </c>
      <c r="D643" s="4">
        <v>50000</v>
      </c>
      <c r="E643" s="3">
        <v>4</v>
      </c>
      <c r="F643" s="3" t="s">
        <v>13</v>
      </c>
      <c r="G643" s="3" t="s">
        <v>28</v>
      </c>
      <c r="H643" s="3" t="s">
        <v>15</v>
      </c>
      <c r="I643" s="3">
        <v>2</v>
      </c>
      <c r="J643" s="3" t="s">
        <v>46</v>
      </c>
      <c r="K643" s="3" t="s">
        <v>32</v>
      </c>
      <c r="L643" s="3">
        <v>64</v>
      </c>
      <c r="M643" s="3" t="str">
        <f t="shared" ref="M643:M706" si="10">IF(L643&gt;51,"Old Age",IF(L643&gt;=31,"Middle Age",IF(L643&lt;31,"Youth","Invalid")))</f>
        <v>Old Age</v>
      </c>
      <c r="N643" s="3" t="s">
        <v>18</v>
      </c>
    </row>
    <row r="644" spans="1:14" x14ac:dyDescent="0.25">
      <c r="A644" s="3">
        <v>21741</v>
      </c>
      <c r="B644" s="3" t="s">
        <v>36</v>
      </c>
      <c r="C644" s="3" t="s">
        <v>38</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38</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38</v>
      </c>
      <c r="D646" s="4">
        <v>60000</v>
      </c>
      <c r="E646" s="3">
        <v>5</v>
      </c>
      <c r="F646" s="3" t="s">
        <v>13</v>
      </c>
      <c r="G646" s="3" t="s">
        <v>14</v>
      </c>
      <c r="H646" s="3" t="s">
        <v>15</v>
      </c>
      <c r="I646" s="3">
        <v>3</v>
      </c>
      <c r="J646" s="3" t="s">
        <v>46</v>
      </c>
      <c r="K646" s="3" t="s">
        <v>32</v>
      </c>
      <c r="L646" s="3">
        <v>41</v>
      </c>
      <c r="M646" s="3" t="str">
        <f t="shared" si="10"/>
        <v>Middle Age</v>
      </c>
      <c r="N646" s="3" t="s">
        <v>18</v>
      </c>
    </row>
    <row r="647" spans="1:14" x14ac:dyDescent="0.25">
      <c r="A647" s="3">
        <v>16217</v>
      </c>
      <c r="B647" s="3" t="s">
        <v>37</v>
      </c>
      <c r="C647" s="3" t="s">
        <v>38</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38</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39</v>
      </c>
      <c r="D649" s="4">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38</v>
      </c>
      <c r="D650" s="4">
        <v>70000</v>
      </c>
      <c r="E650" s="3">
        <v>2</v>
      </c>
      <c r="F650" s="3" t="s">
        <v>13</v>
      </c>
      <c r="G650" s="3" t="s">
        <v>28</v>
      </c>
      <c r="H650" s="3" t="s">
        <v>18</v>
      </c>
      <c r="I650" s="3">
        <v>1</v>
      </c>
      <c r="J650" s="3" t="s">
        <v>22</v>
      </c>
      <c r="K650" s="3" t="s">
        <v>32</v>
      </c>
      <c r="L650" s="3">
        <v>58</v>
      </c>
      <c r="M650" s="3" t="str">
        <f t="shared" si="10"/>
        <v>Old Age</v>
      </c>
      <c r="N650" s="3" t="s">
        <v>15</v>
      </c>
    </row>
    <row r="651" spans="1:14" x14ac:dyDescent="0.25">
      <c r="A651" s="3">
        <v>19164</v>
      </c>
      <c r="B651" s="3" t="s">
        <v>37</v>
      </c>
      <c r="C651" s="3" t="s">
        <v>38</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38</v>
      </c>
      <c r="D652" s="4">
        <v>70000</v>
      </c>
      <c r="E652" s="3">
        <v>5</v>
      </c>
      <c r="F652" s="3" t="s">
        <v>31</v>
      </c>
      <c r="G652" s="3" t="s">
        <v>28</v>
      </c>
      <c r="H652" s="3" t="s">
        <v>15</v>
      </c>
      <c r="I652" s="3">
        <v>2</v>
      </c>
      <c r="J652" s="3" t="s">
        <v>46</v>
      </c>
      <c r="K652" s="3" t="s">
        <v>32</v>
      </c>
      <c r="L652" s="3">
        <v>67</v>
      </c>
      <c r="M652" s="3" t="str">
        <f t="shared" si="10"/>
        <v>Old Age</v>
      </c>
      <c r="N652" s="3" t="s">
        <v>15</v>
      </c>
    </row>
    <row r="653" spans="1:14" x14ac:dyDescent="0.25">
      <c r="A653" s="3">
        <v>14284</v>
      </c>
      <c r="B653" s="3" t="s">
        <v>37</v>
      </c>
      <c r="C653" s="3" t="s">
        <v>39</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39</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39</v>
      </c>
      <c r="D655" s="4">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39</v>
      </c>
      <c r="D656" s="4">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38</v>
      </c>
      <c r="D657" s="4">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39</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39</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39</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38</v>
      </c>
      <c r="D661" s="4">
        <v>60000</v>
      </c>
      <c r="E661" s="3">
        <v>4</v>
      </c>
      <c r="F661" s="3" t="s">
        <v>13</v>
      </c>
      <c r="G661" s="3" t="s">
        <v>28</v>
      </c>
      <c r="H661" s="3" t="s">
        <v>15</v>
      </c>
      <c r="I661" s="3">
        <v>2</v>
      </c>
      <c r="J661" s="3" t="s">
        <v>46</v>
      </c>
      <c r="K661" s="3" t="s">
        <v>32</v>
      </c>
      <c r="L661" s="3">
        <v>63</v>
      </c>
      <c r="M661" s="3" t="str">
        <f t="shared" si="10"/>
        <v>Old Age</v>
      </c>
      <c r="N661" s="3" t="s">
        <v>18</v>
      </c>
    </row>
    <row r="662" spans="1:14" x14ac:dyDescent="0.25">
      <c r="A662" s="3">
        <v>21599</v>
      </c>
      <c r="B662" s="3" t="s">
        <v>36</v>
      </c>
      <c r="C662" s="3" t="s">
        <v>38</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39</v>
      </c>
      <c r="D663" s="4">
        <v>40000</v>
      </c>
      <c r="E663" s="3">
        <v>0</v>
      </c>
      <c r="F663" s="3" t="s">
        <v>27</v>
      </c>
      <c r="G663" s="3" t="s">
        <v>14</v>
      </c>
      <c r="H663" s="3" t="s">
        <v>18</v>
      </c>
      <c r="I663" s="3">
        <v>2</v>
      </c>
      <c r="J663" s="3" t="s">
        <v>16</v>
      </c>
      <c r="K663" s="3" t="s">
        <v>32</v>
      </c>
      <c r="L663" s="3">
        <v>28</v>
      </c>
      <c r="M663" s="3" t="str">
        <f t="shared" si="10"/>
        <v>Youth</v>
      </c>
      <c r="N663" s="3" t="s">
        <v>15</v>
      </c>
    </row>
    <row r="664" spans="1:14" x14ac:dyDescent="0.25">
      <c r="A664" s="3">
        <v>27637</v>
      </c>
      <c r="B664" s="3" t="s">
        <v>37</v>
      </c>
      <c r="C664" s="3" t="s">
        <v>38</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38</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38</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39</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38</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38</v>
      </c>
      <c r="D669" s="4">
        <v>40000</v>
      </c>
      <c r="E669" s="3">
        <v>5</v>
      </c>
      <c r="F669" s="3" t="s">
        <v>27</v>
      </c>
      <c r="G669" s="3" t="s">
        <v>21</v>
      </c>
      <c r="H669" s="3" t="s">
        <v>18</v>
      </c>
      <c r="I669" s="3">
        <v>2</v>
      </c>
      <c r="J669" s="3" t="s">
        <v>46</v>
      </c>
      <c r="K669" s="3" t="s">
        <v>32</v>
      </c>
      <c r="L669" s="3">
        <v>61</v>
      </c>
      <c r="M669" s="3" t="str">
        <f t="shared" si="10"/>
        <v>Old Age</v>
      </c>
      <c r="N669" s="3" t="s">
        <v>18</v>
      </c>
    </row>
    <row r="670" spans="1:14" x14ac:dyDescent="0.25">
      <c r="A670" s="3">
        <v>14592</v>
      </c>
      <c r="B670" s="3" t="s">
        <v>36</v>
      </c>
      <c r="C670" s="3" t="s">
        <v>38</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38</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39</v>
      </c>
      <c r="D672" s="4">
        <v>70000</v>
      </c>
      <c r="E672" s="3">
        <v>2</v>
      </c>
      <c r="F672" s="3" t="s">
        <v>19</v>
      </c>
      <c r="G672" s="3" t="s">
        <v>21</v>
      </c>
      <c r="H672" s="3" t="s">
        <v>15</v>
      </c>
      <c r="I672" s="3">
        <v>1</v>
      </c>
      <c r="J672" s="3" t="s">
        <v>46</v>
      </c>
      <c r="K672" s="3" t="s">
        <v>32</v>
      </c>
      <c r="L672" s="3">
        <v>59</v>
      </c>
      <c r="M672" s="3" t="str">
        <f t="shared" si="10"/>
        <v>Old Age</v>
      </c>
      <c r="N672" s="3" t="s">
        <v>18</v>
      </c>
    </row>
    <row r="673" spans="1:14" x14ac:dyDescent="0.25">
      <c r="A673" s="3">
        <v>22252</v>
      </c>
      <c r="B673" s="3" t="s">
        <v>37</v>
      </c>
      <c r="C673" s="3" t="s">
        <v>38</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38</v>
      </c>
      <c r="D674" s="4">
        <v>40000</v>
      </c>
      <c r="E674" s="3">
        <v>0</v>
      </c>
      <c r="F674" s="3" t="s">
        <v>27</v>
      </c>
      <c r="G674" s="3" t="s">
        <v>14</v>
      </c>
      <c r="H674" s="3" t="s">
        <v>15</v>
      </c>
      <c r="I674" s="3">
        <v>2</v>
      </c>
      <c r="J674" s="3" t="s">
        <v>23</v>
      </c>
      <c r="K674" s="3" t="s">
        <v>32</v>
      </c>
      <c r="L674" s="3">
        <v>30</v>
      </c>
      <c r="M674" s="3" t="str">
        <f t="shared" si="10"/>
        <v>Youth</v>
      </c>
      <c r="N674" s="3" t="s">
        <v>18</v>
      </c>
    </row>
    <row r="675" spans="1:14" x14ac:dyDescent="0.25">
      <c r="A675" s="3">
        <v>11817</v>
      </c>
      <c r="B675" s="3" t="s">
        <v>37</v>
      </c>
      <c r="C675" s="3" t="s">
        <v>38</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38</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39</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39</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39</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39</v>
      </c>
      <c r="D680" s="4">
        <v>80000</v>
      </c>
      <c r="E680" s="3">
        <v>5</v>
      </c>
      <c r="F680" s="3" t="s">
        <v>13</v>
      </c>
      <c r="G680" s="3" t="s">
        <v>28</v>
      </c>
      <c r="H680" s="3" t="s">
        <v>18</v>
      </c>
      <c r="I680" s="3">
        <v>2</v>
      </c>
      <c r="J680" s="3" t="s">
        <v>22</v>
      </c>
      <c r="K680" s="3" t="s">
        <v>17</v>
      </c>
      <c r="L680" s="3">
        <v>62</v>
      </c>
      <c r="M680" s="3" t="str">
        <f t="shared" si="10"/>
        <v>Old Age</v>
      </c>
      <c r="N680" s="3" t="s">
        <v>18</v>
      </c>
    </row>
    <row r="681" spans="1:14" x14ac:dyDescent="0.25">
      <c r="A681" s="3">
        <v>21770</v>
      </c>
      <c r="B681" s="3" t="s">
        <v>36</v>
      </c>
      <c r="C681" s="3" t="s">
        <v>39</v>
      </c>
      <c r="D681" s="4">
        <v>60000</v>
      </c>
      <c r="E681" s="3">
        <v>4</v>
      </c>
      <c r="F681" s="3" t="s">
        <v>13</v>
      </c>
      <c r="G681" s="3" t="s">
        <v>28</v>
      </c>
      <c r="H681" s="3" t="s">
        <v>15</v>
      </c>
      <c r="I681" s="3">
        <v>2</v>
      </c>
      <c r="J681" s="3" t="s">
        <v>46</v>
      </c>
      <c r="K681" s="3" t="s">
        <v>32</v>
      </c>
      <c r="L681" s="3">
        <v>60</v>
      </c>
      <c r="M681" s="3" t="str">
        <f t="shared" si="10"/>
        <v>Old Age</v>
      </c>
      <c r="N681" s="3" t="s">
        <v>18</v>
      </c>
    </row>
    <row r="682" spans="1:14" x14ac:dyDescent="0.25">
      <c r="A682" s="3">
        <v>11165</v>
      </c>
      <c r="B682" s="3" t="s">
        <v>36</v>
      </c>
      <c r="C682" s="3" t="s">
        <v>38</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38</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39</v>
      </c>
      <c r="D684" s="4">
        <v>20000</v>
      </c>
      <c r="E684" s="3">
        <v>3</v>
      </c>
      <c r="F684" s="3" t="s">
        <v>29</v>
      </c>
      <c r="G684" s="3" t="s">
        <v>20</v>
      </c>
      <c r="H684" s="3" t="s">
        <v>18</v>
      </c>
      <c r="I684" s="3">
        <v>2</v>
      </c>
      <c r="J684" s="3" t="s">
        <v>16</v>
      </c>
      <c r="K684" s="3" t="s">
        <v>32</v>
      </c>
      <c r="L684" s="3">
        <v>52</v>
      </c>
      <c r="M684" s="3" t="str">
        <f t="shared" si="10"/>
        <v>Old Age</v>
      </c>
      <c r="N684" s="3" t="s">
        <v>18</v>
      </c>
    </row>
    <row r="685" spans="1:14" x14ac:dyDescent="0.25">
      <c r="A685" s="3">
        <v>23461</v>
      </c>
      <c r="B685" s="3" t="s">
        <v>36</v>
      </c>
      <c r="C685" s="3" t="s">
        <v>38</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38</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38</v>
      </c>
      <c r="D687" s="4">
        <v>60000</v>
      </c>
      <c r="E687" s="3">
        <v>3</v>
      </c>
      <c r="F687" s="3" t="s">
        <v>31</v>
      </c>
      <c r="G687" s="3" t="s">
        <v>28</v>
      </c>
      <c r="H687" s="3" t="s">
        <v>15</v>
      </c>
      <c r="I687" s="3">
        <v>2</v>
      </c>
      <c r="J687" s="3" t="s">
        <v>23</v>
      </c>
      <c r="K687" s="3" t="s">
        <v>32</v>
      </c>
      <c r="L687" s="3">
        <v>53</v>
      </c>
      <c r="M687" s="3" t="str">
        <f t="shared" si="10"/>
        <v>Old Age</v>
      </c>
      <c r="N687" s="3" t="s">
        <v>15</v>
      </c>
    </row>
    <row r="688" spans="1:14" x14ac:dyDescent="0.25">
      <c r="A688" s="3">
        <v>12774</v>
      </c>
      <c r="B688" s="3" t="s">
        <v>36</v>
      </c>
      <c r="C688" s="3" t="s">
        <v>38</v>
      </c>
      <c r="D688" s="4">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39</v>
      </c>
      <c r="D689" s="4">
        <v>30000</v>
      </c>
      <c r="E689" s="3">
        <v>0</v>
      </c>
      <c r="F689" s="3" t="s">
        <v>19</v>
      </c>
      <c r="G689" s="3" t="s">
        <v>14</v>
      </c>
      <c r="H689" s="3" t="s">
        <v>15</v>
      </c>
      <c r="I689" s="3">
        <v>2</v>
      </c>
      <c r="J689" s="3" t="s">
        <v>23</v>
      </c>
      <c r="K689" s="3" t="s">
        <v>32</v>
      </c>
      <c r="L689" s="3">
        <v>30</v>
      </c>
      <c r="M689" s="3" t="str">
        <f t="shared" si="10"/>
        <v>Youth</v>
      </c>
      <c r="N689" s="3" t="s">
        <v>18</v>
      </c>
    </row>
    <row r="690" spans="1:14" x14ac:dyDescent="0.25">
      <c r="A690" s="3">
        <v>11699</v>
      </c>
      <c r="B690" s="3" t="s">
        <v>37</v>
      </c>
      <c r="C690" s="3" t="s">
        <v>39</v>
      </c>
      <c r="D690" s="4">
        <v>60000</v>
      </c>
      <c r="E690" s="3">
        <v>0</v>
      </c>
      <c r="F690" s="3" t="s">
        <v>13</v>
      </c>
      <c r="G690" s="3" t="s">
        <v>14</v>
      </c>
      <c r="H690" s="3" t="s">
        <v>18</v>
      </c>
      <c r="I690" s="3">
        <v>2</v>
      </c>
      <c r="J690" s="3" t="s">
        <v>16</v>
      </c>
      <c r="K690" s="3" t="s">
        <v>32</v>
      </c>
      <c r="L690" s="3">
        <v>30</v>
      </c>
      <c r="M690" s="3" t="str">
        <f t="shared" si="10"/>
        <v>Youth</v>
      </c>
      <c r="N690" s="3" t="s">
        <v>18</v>
      </c>
    </row>
    <row r="691" spans="1:14" x14ac:dyDescent="0.25">
      <c r="A691" s="3">
        <v>16725</v>
      </c>
      <c r="B691" s="3" t="s">
        <v>36</v>
      </c>
      <c r="C691" s="3" t="s">
        <v>39</v>
      </c>
      <c r="D691" s="4">
        <v>30000</v>
      </c>
      <c r="E691" s="3">
        <v>0</v>
      </c>
      <c r="F691" s="3" t="s">
        <v>27</v>
      </c>
      <c r="G691" s="3" t="s">
        <v>14</v>
      </c>
      <c r="H691" s="3" t="s">
        <v>15</v>
      </c>
      <c r="I691" s="3">
        <v>2</v>
      </c>
      <c r="J691" s="3" t="s">
        <v>23</v>
      </c>
      <c r="K691" s="3" t="s">
        <v>32</v>
      </c>
      <c r="L691" s="3">
        <v>26</v>
      </c>
      <c r="M691" s="3" t="str">
        <f t="shared" si="10"/>
        <v>Youth</v>
      </c>
      <c r="N691" s="3" t="s">
        <v>18</v>
      </c>
    </row>
    <row r="692" spans="1:14" x14ac:dyDescent="0.25">
      <c r="A692" s="3">
        <v>28269</v>
      </c>
      <c r="B692" s="3" t="s">
        <v>37</v>
      </c>
      <c r="C692" s="3" t="s">
        <v>38</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39</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39</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38</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38</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39</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39</v>
      </c>
      <c r="D698" s="4">
        <v>60000</v>
      </c>
      <c r="E698" s="3">
        <v>0</v>
      </c>
      <c r="F698" s="3" t="s">
        <v>19</v>
      </c>
      <c r="G698" s="3" t="s">
        <v>21</v>
      </c>
      <c r="H698" s="3" t="s">
        <v>18</v>
      </c>
      <c r="I698" s="3">
        <v>2</v>
      </c>
      <c r="J698" s="3" t="s">
        <v>26</v>
      </c>
      <c r="K698" s="3" t="s">
        <v>32</v>
      </c>
      <c r="L698" s="3">
        <v>30</v>
      </c>
      <c r="M698" s="3" t="str">
        <f t="shared" si="10"/>
        <v>Youth</v>
      </c>
      <c r="N698" s="3" t="s">
        <v>18</v>
      </c>
    </row>
    <row r="699" spans="1:14" x14ac:dyDescent="0.25">
      <c r="A699" s="3">
        <v>14090</v>
      </c>
      <c r="B699" s="3" t="s">
        <v>36</v>
      </c>
      <c r="C699" s="3" t="s">
        <v>38</v>
      </c>
      <c r="D699" s="4">
        <v>30000</v>
      </c>
      <c r="E699" s="3">
        <v>0</v>
      </c>
      <c r="F699" s="3" t="s">
        <v>29</v>
      </c>
      <c r="G699" s="3" t="s">
        <v>20</v>
      </c>
      <c r="H699" s="3" t="s">
        <v>18</v>
      </c>
      <c r="I699" s="3">
        <v>2</v>
      </c>
      <c r="J699" s="3" t="s">
        <v>16</v>
      </c>
      <c r="K699" s="3" t="s">
        <v>32</v>
      </c>
      <c r="L699" s="3">
        <v>28</v>
      </c>
      <c r="M699" s="3" t="str">
        <f t="shared" si="10"/>
        <v>Youth</v>
      </c>
      <c r="N699" s="3" t="s">
        <v>18</v>
      </c>
    </row>
    <row r="700" spans="1:14" x14ac:dyDescent="0.25">
      <c r="A700" s="3">
        <v>27040</v>
      </c>
      <c r="B700" s="3" t="s">
        <v>36</v>
      </c>
      <c r="C700" s="3" t="s">
        <v>39</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39</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38</v>
      </c>
      <c r="D702" s="4">
        <v>70000</v>
      </c>
      <c r="E702" s="3">
        <v>4</v>
      </c>
      <c r="F702" s="3" t="s">
        <v>13</v>
      </c>
      <c r="G702" s="3" t="s">
        <v>28</v>
      </c>
      <c r="H702" s="3" t="s">
        <v>15</v>
      </c>
      <c r="I702" s="3">
        <v>1</v>
      </c>
      <c r="J702" s="3" t="s">
        <v>26</v>
      </c>
      <c r="K702" s="3" t="s">
        <v>32</v>
      </c>
      <c r="L702" s="3">
        <v>59</v>
      </c>
      <c r="M702" s="3" t="str">
        <f t="shared" si="10"/>
        <v>Old Age</v>
      </c>
      <c r="N702" s="3" t="s">
        <v>18</v>
      </c>
    </row>
    <row r="703" spans="1:14" x14ac:dyDescent="0.25">
      <c r="A703" s="3">
        <v>22014</v>
      </c>
      <c r="B703" s="3" t="s">
        <v>37</v>
      </c>
      <c r="C703" s="3" t="s">
        <v>39</v>
      </c>
      <c r="D703" s="4">
        <v>30000</v>
      </c>
      <c r="E703" s="3">
        <v>0</v>
      </c>
      <c r="F703" s="3" t="s">
        <v>27</v>
      </c>
      <c r="G703" s="3" t="s">
        <v>14</v>
      </c>
      <c r="H703" s="3" t="s">
        <v>15</v>
      </c>
      <c r="I703" s="3">
        <v>2</v>
      </c>
      <c r="J703" s="3" t="s">
        <v>23</v>
      </c>
      <c r="K703" s="3" t="s">
        <v>32</v>
      </c>
      <c r="L703" s="3">
        <v>26</v>
      </c>
      <c r="M703" s="3" t="str">
        <f t="shared" si="10"/>
        <v>Youth</v>
      </c>
      <c r="N703" s="3" t="s">
        <v>18</v>
      </c>
    </row>
    <row r="704" spans="1:14" x14ac:dyDescent="0.25">
      <c r="A704" s="3">
        <v>13314</v>
      </c>
      <c r="B704" s="3" t="s">
        <v>36</v>
      </c>
      <c r="C704" s="3" t="s">
        <v>39</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38</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38</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38</v>
      </c>
      <c r="D707" s="4">
        <v>70000</v>
      </c>
      <c r="E707" s="3">
        <v>4</v>
      </c>
      <c r="F707" s="3" t="s">
        <v>13</v>
      </c>
      <c r="G707" s="3" t="s">
        <v>28</v>
      </c>
      <c r="H707" s="3" t="s">
        <v>15</v>
      </c>
      <c r="I707" s="3">
        <v>1</v>
      </c>
      <c r="J707" s="3" t="s">
        <v>46</v>
      </c>
      <c r="K707" s="3" t="s">
        <v>32</v>
      </c>
      <c r="L707" s="3">
        <v>59</v>
      </c>
      <c r="M707" s="3" t="str">
        <f t="shared" ref="M707:M770" si="11">IF(L707&gt;51,"Old Age",IF(L707&gt;=31,"Middle Age",IF(L707&lt;31,"Youth","Invalid")))</f>
        <v>Old Age</v>
      </c>
      <c r="N707" s="3" t="s">
        <v>18</v>
      </c>
    </row>
    <row r="708" spans="1:14" x14ac:dyDescent="0.25">
      <c r="A708" s="3">
        <v>20296</v>
      </c>
      <c r="B708" s="3" t="s">
        <v>37</v>
      </c>
      <c r="C708" s="3" t="s">
        <v>38</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38</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39</v>
      </c>
      <c r="D710" s="4">
        <v>70000</v>
      </c>
      <c r="E710" s="3">
        <v>5</v>
      </c>
      <c r="F710" s="3" t="s">
        <v>13</v>
      </c>
      <c r="G710" s="3" t="s">
        <v>28</v>
      </c>
      <c r="H710" s="3" t="s">
        <v>15</v>
      </c>
      <c r="I710" s="3">
        <v>4</v>
      </c>
      <c r="J710" s="3" t="s">
        <v>46</v>
      </c>
      <c r="K710" s="3" t="s">
        <v>32</v>
      </c>
      <c r="L710" s="3">
        <v>60</v>
      </c>
      <c r="M710" s="3" t="str">
        <f t="shared" si="11"/>
        <v>Old Age</v>
      </c>
      <c r="N710" s="3" t="s">
        <v>18</v>
      </c>
    </row>
    <row r="711" spans="1:14" x14ac:dyDescent="0.25">
      <c r="A711" s="3">
        <v>23712</v>
      </c>
      <c r="B711" s="3" t="s">
        <v>37</v>
      </c>
      <c r="C711" s="3" t="s">
        <v>38</v>
      </c>
      <c r="D711" s="4">
        <v>70000</v>
      </c>
      <c r="E711" s="3">
        <v>2</v>
      </c>
      <c r="F711" s="3" t="s">
        <v>13</v>
      </c>
      <c r="G711" s="3" t="s">
        <v>28</v>
      </c>
      <c r="H711" s="3" t="s">
        <v>15</v>
      </c>
      <c r="I711" s="3">
        <v>1</v>
      </c>
      <c r="J711" s="3" t="s">
        <v>46</v>
      </c>
      <c r="K711" s="3" t="s">
        <v>32</v>
      </c>
      <c r="L711" s="3">
        <v>59</v>
      </c>
      <c r="M711" s="3" t="str">
        <f t="shared" si="11"/>
        <v>Old Age</v>
      </c>
      <c r="N711" s="3" t="s">
        <v>18</v>
      </c>
    </row>
    <row r="712" spans="1:14" x14ac:dyDescent="0.25">
      <c r="A712" s="3">
        <v>23358</v>
      </c>
      <c r="B712" s="3" t="s">
        <v>36</v>
      </c>
      <c r="C712" s="3" t="s">
        <v>39</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38</v>
      </c>
      <c r="D713" s="4">
        <v>70000</v>
      </c>
      <c r="E713" s="3">
        <v>2</v>
      </c>
      <c r="F713" s="3" t="s">
        <v>19</v>
      </c>
      <c r="G713" s="3" t="s">
        <v>21</v>
      </c>
      <c r="H713" s="3" t="s">
        <v>15</v>
      </c>
      <c r="I713" s="3">
        <v>1</v>
      </c>
      <c r="J713" s="3" t="s">
        <v>46</v>
      </c>
      <c r="K713" s="3" t="s">
        <v>32</v>
      </c>
      <c r="L713" s="3">
        <v>58</v>
      </c>
      <c r="M713" s="3" t="str">
        <f t="shared" si="11"/>
        <v>Old Age</v>
      </c>
      <c r="N713" s="3" t="s">
        <v>18</v>
      </c>
    </row>
    <row r="714" spans="1:14" x14ac:dyDescent="0.25">
      <c r="A714" s="3">
        <v>28026</v>
      </c>
      <c r="B714" s="3" t="s">
        <v>36</v>
      </c>
      <c r="C714" s="3" t="s">
        <v>38</v>
      </c>
      <c r="D714" s="4">
        <v>40000</v>
      </c>
      <c r="E714" s="3">
        <v>2</v>
      </c>
      <c r="F714" s="3" t="s">
        <v>27</v>
      </c>
      <c r="G714" s="3" t="s">
        <v>21</v>
      </c>
      <c r="H714" s="3" t="s">
        <v>18</v>
      </c>
      <c r="I714" s="3">
        <v>2</v>
      </c>
      <c r="J714" s="3" t="s">
        <v>22</v>
      </c>
      <c r="K714" s="3" t="s">
        <v>32</v>
      </c>
      <c r="L714" s="3">
        <v>59</v>
      </c>
      <c r="M714" s="3" t="str">
        <f t="shared" si="11"/>
        <v>Old Age</v>
      </c>
      <c r="N714" s="3" t="s">
        <v>18</v>
      </c>
    </row>
    <row r="715" spans="1:14" x14ac:dyDescent="0.25">
      <c r="A715" s="3">
        <v>11669</v>
      </c>
      <c r="B715" s="3" t="s">
        <v>37</v>
      </c>
      <c r="C715" s="3" t="s">
        <v>38</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39</v>
      </c>
      <c r="D716" s="4">
        <v>40000</v>
      </c>
      <c r="E716" s="3">
        <v>0</v>
      </c>
      <c r="F716" s="3" t="s">
        <v>27</v>
      </c>
      <c r="G716" s="3" t="s">
        <v>14</v>
      </c>
      <c r="H716" s="3" t="s">
        <v>15</v>
      </c>
      <c r="I716" s="3">
        <v>2</v>
      </c>
      <c r="J716" s="3" t="s">
        <v>23</v>
      </c>
      <c r="K716" s="3" t="s">
        <v>32</v>
      </c>
      <c r="L716" s="3">
        <v>28</v>
      </c>
      <c r="M716" s="3" t="str">
        <f t="shared" si="11"/>
        <v>Youth</v>
      </c>
      <c r="N716" s="3" t="s">
        <v>15</v>
      </c>
    </row>
    <row r="717" spans="1:14" x14ac:dyDescent="0.25">
      <c r="A717" s="3">
        <v>27090</v>
      </c>
      <c r="B717" s="3" t="s">
        <v>36</v>
      </c>
      <c r="C717" s="3" t="s">
        <v>38</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38</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39</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39</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38</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38</v>
      </c>
      <c r="D722" s="4">
        <v>40000</v>
      </c>
      <c r="E722" s="3">
        <v>5</v>
      </c>
      <c r="F722" s="3" t="s">
        <v>27</v>
      </c>
      <c r="G722" s="3" t="s">
        <v>21</v>
      </c>
      <c r="H722" s="3" t="s">
        <v>18</v>
      </c>
      <c r="I722" s="3">
        <v>3</v>
      </c>
      <c r="J722" s="3" t="s">
        <v>22</v>
      </c>
      <c r="K722" s="3" t="s">
        <v>32</v>
      </c>
      <c r="L722" s="3">
        <v>60</v>
      </c>
      <c r="M722" s="3" t="str">
        <f t="shared" si="11"/>
        <v>Old Age</v>
      </c>
      <c r="N722" s="3" t="s">
        <v>15</v>
      </c>
    </row>
    <row r="723" spans="1:14" x14ac:dyDescent="0.25">
      <c r="A723" s="3">
        <v>13287</v>
      </c>
      <c r="B723" s="3" t="s">
        <v>37</v>
      </c>
      <c r="C723" s="3" t="s">
        <v>39</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38</v>
      </c>
      <c r="D724" s="4">
        <v>70000</v>
      </c>
      <c r="E724" s="3">
        <v>3</v>
      </c>
      <c r="F724" s="3" t="s">
        <v>31</v>
      </c>
      <c r="G724" s="3" t="s">
        <v>28</v>
      </c>
      <c r="H724" s="3" t="s">
        <v>18</v>
      </c>
      <c r="I724" s="3">
        <v>2</v>
      </c>
      <c r="J724" s="3" t="s">
        <v>26</v>
      </c>
      <c r="K724" s="3" t="s">
        <v>32</v>
      </c>
      <c r="L724" s="3">
        <v>53</v>
      </c>
      <c r="M724" s="3" t="str">
        <f t="shared" si="11"/>
        <v>Old Age</v>
      </c>
      <c r="N724" s="3" t="s">
        <v>18</v>
      </c>
    </row>
    <row r="725" spans="1:14" x14ac:dyDescent="0.25">
      <c r="A725" s="3">
        <v>26678</v>
      </c>
      <c r="B725" s="3" t="s">
        <v>37</v>
      </c>
      <c r="C725" s="3" t="s">
        <v>38</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39</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39</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39</v>
      </c>
      <c r="D728" s="4">
        <v>20000</v>
      </c>
      <c r="E728" s="3">
        <v>2</v>
      </c>
      <c r="F728" s="3" t="s">
        <v>27</v>
      </c>
      <c r="G728" s="3" t="s">
        <v>25</v>
      </c>
      <c r="H728" s="3" t="s">
        <v>18</v>
      </c>
      <c r="I728" s="3">
        <v>2</v>
      </c>
      <c r="J728" s="3" t="s">
        <v>16</v>
      </c>
      <c r="K728" s="3" t="s">
        <v>32</v>
      </c>
      <c r="L728" s="3">
        <v>53</v>
      </c>
      <c r="M728" s="3" t="str">
        <f t="shared" si="11"/>
        <v>Old Age</v>
      </c>
      <c r="N728" s="3" t="s">
        <v>18</v>
      </c>
    </row>
    <row r="729" spans="1:14" x14ac:dyDescent="0.25">
      <c r="A729" s="3">
        <v>16144</v>
      </c>
      <c r="B729" s="3" t="s">
        <v>36</v>
      </c>
      <c r="C729" s="3" t="s">
        <v>39</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39</v>
      </c>
      <c r="D730" s="4">
        <v>40000</v>
      </c>
      <c r="E730" s="3">
        <v>0</v>
      </c>
      <c r="F730" s="3" t="s">
        <v>27</v>
      </c>
      <c r="G730" s="3" t="s">
        <v>14</v>
      </c>
      <c r="H730" s="3" t="s">
        <v>15</v>
      </c>
      <c r="I730" s="3">
        <v>2</v>
      </c>
      <c r="J730" s="3" t="s">
        <v>23</v>
      </c>
      <c r="K730" s="3" t="s">
        <v>32</v>
      </c>
      <c r="L730" s="3">
        <v>27</v>
      </c>
      <c r="M730" s="3" t="str">
        <f t="shared" si="11"/>
        <v>Youth</v>
      </c>
      <c r="N730" s="3" t="s">
        <v>18</v>
      </c>
    </row>
    <row r="731" spans="1:14" x14ac:dyDescent="0.25">
      <c r="A731" s="3">
        <v>11886</v>
      </c>
      <c r="B731" s="3" t="s">
        <v>36</v>
      </c>
      <c r="C731" s="3" t="s">
        <v>38</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38</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39</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38</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39</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38</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38</v>
      </c>
      <c r="D737" s="4">
        <v>30000</v>
      </c>
      <c r="E737" s="3">
        <v>0</v>
      </c>
      <c r="F737" s="3" t="s">
        <v>19</v>
      </c>
      <c r="G737" s="3" t="s">
        <v>14</v>
      </c>
      <c r="H737" s="3" t="s">
        <v>15</v>
      </c>
      <c r="I737" s="3">
        <v>1</v>
      </c>
      <c r="J737" s="3" t="s">
        <v>23</v>
      </c>
      <c r="K737" s="3" t="s">
        <v>32</v>
      </c>
      <c r="L737" s="3">
        <v>26</v>
      </c>
      <c r="M737" s="3" t="str">
        <f t="shared" si="11"/>
        <v>Youth</v>
      </c>
      <c r="N737" s="3" t="s">
        <v>18</v>
      </c>
    </row>
    <row r="738" spans="1:14" x14ac:dyDescent="0.25">
      <c r="A738" s="3">
        <v>19634</v>
      </c>
      <c r="B738" s="3" t="s">
        <v>36</v>
      </c>
      <c r="C738" s="3" t="s">
        <v>39</v>
      </c>
      <c r="D738" s="4">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39</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38</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38</v>
      </c>
      <c r="D741" s="4">
        <v>60000</v>
      </c>
      <c r="E741" s="3">
        <v>2</v>
      </c>
      <c r="F741" s="3" t="s">
        <v>19</v>
      </c>
      <c r="G741" s="3" t="s">
        <v>21</v>
      </c>
      <c r="H741" s="3" t="s">
        <v>15</v>
      </c>
      <c r="I741" s="3">
        <v>1</v>
      </c>
      <c r="J741" s="3" t="s">
        <v>46</v>
      </c>
      <c r="K741" s="3" t="s">
        <v>32</v>
      </c>
      <c r="L741" s="3">
        <v>55</v>
      </c>
      <c r="M741" s="3" t="str">
        <f t="shared" si="11"/>
        <v>Old Age</v>
      </c>
      <c r="N741" s="3" t="s">
        <v>18</v>
      </c>
    </row>
    <row r="742" spans="1:14" x14ac:dyDescent="0.25">
      <c r="A742" s="3">
        <v>17657</v>
      </c>
      <c r="B742" s="3" t="s">
        <v>36</v>
      </c>
      <c r="C742" s="3" t="s">
        <v>39</v>
      </c>
      <c r="D742" s="4">
        <v>40000</v>
      </c>
      <c r="E742" s="3">
        <v>4</v>
      </c>
      <c r="F742" s="3" t="s">
        <v>19</v>
      </c>
      <c r="G742" s="3" t="s">
        <v>20</v>
      </c>
      <c r="H742" s="3" t="s">
        <v>18</v>
      </c>
      <c r="I742" s="3">
        <v>0</v>
      </c>
      <c r="J742" s="3" t="s">
        <v>16</v>
      </c>
      <c r="K742" s="3" t="s">
        <v>32</v>
      </c>
      <c r="L742" s="3">
        <v>30</v>
      </c>
      <c r="M742" s="3" t="str">
        <f t="shared" si="11"/>
        <v>Youth</v>
      </c>
      <c r="N742" s="3" t="s">
        <v>18</v>
      </c>
    </row>
    <row r="743" spans="1:14" x14ac:dyDescent="0.25">
      <c r="A743" s="3">
        <v>14913</v>
      </c>
      <c r="B743" s="3" t="s">
        <v>36</v>
      </c>
      <c r="C743" s="3" t="s">
        <v>38</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39</v>
      </c>
      <c r="D744" s="4">
        <v>30000</v>
      </c>
      <c r="E744" s="3">
        <v>0</v>
      </c>
      <c r="F744" s="3" t="s">
        <v>27</v>
      </c>
      <c r="G744" s="3" t="s">
        <v>14</v>
      </c>
      <c r="H744" s="3" t="s">
        <v>15</v>
      </c>
      <c r="I744" s="3">
        <v>2</v>
      </c>
      <c r="J744" s="3" t="s">
        <v>23</v>
      </c>
      <c r="K744" s="3" t="s">
        <v>32</v>
      </c>
      <c r="L744" s="3">
        <v>30</v>
      </c>
      <c r="M744" s="3" t="str">
        <f t="shared" si="11"/>
        <v>Youth</v>
      </c>
      <c r="N744" s="3" t="s">
        <v>18</v>
      </c>
    </row>
    <row r="745" spans="1:14" x14ac:dyDescent="0.25">
      <c r="A745" s="3">
        <v>13296</v>
      </c>
      <c r="B745" s="3" t="s">
        <v>36</v>
      </c>
      <c r="C745" s="3" t="s">
        <v>39</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38</v>
      </c>
      <c r="D746" s="4">
        <v>70000</v>
      </c>
      <c r="E746" s="3">
        <v>4</v>
      </c>
      <c r="F746" s="3" t="s">
        <v>19</v>
      </c>
      <c r="G746" s="3" t="s">
        <v>21</v>
      </c>
      <c r="H746" s="3" t="s">
        <v>15</v>
      </c>
      <c r="I746" s="3">
        <v>1</v>
      </c>
      <c r="J746" s="3" t="s">
        <v>46</v>
      </c>
      <c r="K746" s="3" t="s">
        <v>32</v>
      </c>
      <c r="L746" s="3">
        <v>56</v>
      </c>
      <c r="M746" s="3" t="str">
        <f t="shared" si="11"/>
        <v>Old Age</v>
      </c>
      <c r="N746" s="3" t="s">
        <v>18</v>
      </c>
    </row>
    <row r="747" spans="1:14" x14ac:dyDescent="0.25">
      <c r="A747" s="3">
        <v>12452</v>
      </c>
      <c r="B747" s="3" t="s">
        <v>36</v>
      </c>
      <c r="C747" s="3" t="s">
        <v>39</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38</v>
      </c>
      <c r="D748" s="4">
        <v>60000</v>
      </c>
      <c r="E748" s="3">
        <v>2</v>
      </c>
      <c r="F748" s="3" t="s">
        <v>13</v>
      </c>
      <c r="G748" s="3" t="s">
        <v>28</v>
      </c>
      <c r="H748" s="3" t="s">
        <v>15</v>
      </c>
      <c r="I748" s="3">
        <v>0</v>
      </c>
      <c r="J748" s="3" t="s">
        <v>46</v>
      </c>
      <c r="K748" s="3" t="s">
        <v>32</v>
      </c>
      <c r="L748" s="3">
        <v>56</v>
      </c>
      <c r="M748" s="3" t="str">
        <f t="shared" si="11"/>
        <v>Old Age</v>
      </c>
      <c r="N748" s="3" t="s">
        <v>18</v>
      </c>
    </row>
    <row r="749" spans="1:14" x14ac:dyDescent="0.25">
      <c r="A749" s="3">
        <v>12957</v>
      </c>
      <c r="B749" s="3" t="s">
        <v>37</v>
      </c>
      <c r="C749" s="3" t="s">
        <v>38</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39</v>
      </c>
      <c r="D750" s="4">
        <v>130000</v>
      </c>
      <c r="E750" s="3">
        <v>2</v>
      </c>
      <c r="F750" s="3" t="s">
        <v>31</v>
      </c>
      <c r="G750" s="3" t="s">
        <v>28</v>
      </c>
      <c r="H750" s="3" t="s">
        <v>15</v>
      </c>
      <c r="I750" s="3">
        <v>3</v>
      </c>
      <c r="J750" s="3" t="s">
        <v>22</v>
      </c>
      <c r="K750" s="3" t="s">
        <v>32</v>
      </c>
      <c r="L750" s="3">
        <v>69</v>
      </c>
      <c r="M750" s="3" t="str">
        <f t="shared" si="11"/>
        <v>Old Age</v>
      </c>
      <c r="N750" s="3" t="s">
        <v>18</v>
      </c>
    </row>
    <row r="751" spans="1:14" x14ac:dyDescent="0.25">
      <c r="A751" s="3">
        <v>20514</v>
      </c>
      <c r="B751" s="3" t="s">
        <v>36</v>
      </c>
      <c r="C751" s="3" t="s">
        <v>38</v>
      </c>
      <c r="D751" s="4">
        <v>70000</v>
      </c>
      <c r="E751" s="3">
        <v>2</v>
      </c>
      <c r="F751" s="3" t="s">
        <v>19</v>
      </c>
      <c r="G751" s="3" t="s">
        <v>21</v>
      </c>
      <c r="H751" s="3" t="s">
        <v>15</v>
      </c>
      <c r="I751" s="3">
        <v>1</v>
      </c>
      <c r="J751" s="3" t="s">
        <v>22</v>
      </c>
      <c r="K751" s="3" t="s">
        <v>32</v>
      </c>
      <c r="L751" s="3">
        <v>59</v>
      </c>
      <c r="M751" s="3" t="str">
        <f t="shared" si="11"/>
        <v>Old Age</v>
      </c>
      <c r="N751" s="3" t="s">
        <v>18</v>
      </c>
    </row>
    <row r="752" spans="1:14" x14ac:dyDescent="0.25">
      <c r="A752" s="3">
        <v>20758</v>
      </c>
      <c r="B752" s="3" t="s">
        <v>36</v>
      </c>
      <c r="C752" s="3" t="s">
        <v>39</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39</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39</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38</v>
      </c>
      <c r="D755" s="4">
        <v>40000</v>
      </c>
      <c r="E755" s="3">
        <v>0</v>
      </c>
      <c r="F755" s="3" t="s">
        <v>19</v>
      </c>
      <c r="G755" s="3" t="s">
        <v>14</v>
      </c>
      <c r="H755" s="3" t="s">
        <v>18</v>
      </c>
      <c r="I755" s="3">
        <v>1</v>
      </c>
      <c r="J755" s="3" t="s">
        <v>26</v>
      </c>
      <c r="K755" s="3" t="s">
        <v>32</v>
      </c>
      <c r="L755" s="3">
        <v>27</v>
      </c>
      <c r="M755" s="3" t="str">
        <f t="shared" si="11"/>
        <v>Youth</v>
      </c>
      <c r="N755" s="3" t="s">
        <v>18</v>
      </c>
    </row>
    <row r="756" spans="1:14" x14ac:dyDescent="0.25">
      <c r="A756" s="3">
        <v>23668</v>
      </c>
      <c r="B756" s="3" t="s">
        <v>36</v>
      </c>
      <c r="C756" s="3" t="s">
        <v>38</v>
      </c>
      <c r="D756" s="4">
        <v>40000</v>
      </c>
      <c r="E756" s="3">
        <v>4</v>
      </c>
      <c r="F756" s="3" t="s">
        <v>27</v>
      </c>
      <c r="G756" s="3" t="s">
        <v>21</v>
      </c>
      <c r="H756" s="3" t="s">
        <v>15</v>
      </c>
      <c r="I756" s="3">
        <v>2</v>
      </c>
      <c r="J756" s="3" t="s">
        <v>23</v>
      </c>
      <c r="K756" s="3" t="s">
        <v>32</v>
      </c>
      <c r="L756" s="3">
        <v>59</v>
      </c>
      <c r="M756" s="3" t="str">
        <f t="shared" si="11"/>
        <v>Old Age</v>
      </c>
      <c r="N756" s="3" t="s">
        <v>15</v>
      </c>
    </row>
    <row r="757" spans="1:14" x14ac:dyDescent="0.25">
      <c r="A757" s="3">
        <v>27441</v>
      </c>
      <c r="B757" s="3" t="s">
        <v>36</v>
      </c>
      <c r="C757" s="3" t="s">
        <v>39</v>
      </c>
      <c r="D757" s="4">
        <v>60000</v>
      </c>
      <c r="E757" s="3">
        <v>3</v>
      </c>
      <c r="F757" s="3" t="s">
        <v>27</v>
      </c>
      <c r="G757" s="3" t="s">
        <v>21</v>
      </c>
      <c r="H757" s="3" t="s">
        <v>18</v>
      </c>
      <c r="I757" s="3">
        <v>2</v>
      </c>
      <c r="J757" s="3" t="s">
        <v>22</v>
      </c>
      <c r="K757" s="3" t="s">
        <v>32</v>
      </c>
      <c r="L757" s="3">
        <v>53</v>
      </c>
      <c r="M757" s="3" t="str">
        <f t="shared" si="11"/>
        <v>Old Age</v>
      </c>
      <c r="N757" s="3" t="s">
        <v>18</v>
      </c>
    </row>
    <row r="758" spans="1:14" x14ac:dyDescent="0.25">
      <c r="A758" s="3">
        <v>27261</v>
      </c>
      <c r="B758" s="3" t="s">
        <v>36</v>
      </c>
      <c r="C758" s="3" t="s">
        <v>39</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39</v>
      </c>
      <c r="D759" s="4">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38</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38</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39</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38</v>
      </c>
      <c r="D763" s="4">
        <v>60000</v>
      </c>
      <c r="E763" s="3">
        <v>5</v>
      </c>
      <c r="F763" s="3" t="s">
        <v>13</v>
      </c>
      <c r="G763" s="3" t="s">
        <v>28</v>
      </c>
      <c r="H763" s="3" t="s">
        <v>15</v>
      </c>
      <c r="I763" s="3">
        <v>3</v>
      </c>
      <c r="J763" s="3" t="s">
        <v>46</v>
      </c>
      <c r="K763" s="3" t="s">
        <v>32</v>
      </c>
      <c r="L763" s="3">
        <v>59</v>
      </c>
      <c r="M763" s="3" t="str">
        <f t="shared" si="11"/>
        <v>Old Age</v>
      </c>
      <c r="N763" s="3" t="s">
        <v>18</v>
      </c>
    </row>
    <row r="764" spans="1:14" x14ac:dyDescent="0.25">
      <c r="A764" s="3">
        <v>20657</v>
      </c>
      <c r="B764" s="3" t="s">
        <v>37</v>
      </c>
      <c r="C764" s="3" t="s">
        <v>39</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39</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38</v>
      </c>
      <c r="D766" s="4">
        <v>60000</v>
      </c>
      <c r="E766" s="3">
        <v>0</v>
      </c>
      <c r="F766" s="3" t="s">
        <v>19</v>
      </c>
      <c r="G766" s="3" t="s">
        <v>14</v>
      </c>
      <c r="H766" s="3" t="s">
        <v>18</v>
      </c>
      <c r="I766" s="3">
        <v>1</v>
      </c>
      <c r="J766" s="3" t="s">
        <v>26</v>
      </c>
      <c r="K766" s="3" t="s">
        <v>32</v>
      </c>
      <c r="L766" s="3">
        <v>27</v>
      </c>
      <c r="M766" s="3" t="str">
        <f t="shared" si="11"/>
        <v>Youth</v>
      </c>
      <c r="N766" s="3" t="s">
        <v>18</v>
      </c>
    </row>
    <row r="767" spans="1:14" x14ac:dyDescent="0.25">
      <c r="A767" s="3">
        <v>16753</v>
      </c>
      <c r="B767" s="3" t="s">
        <v>37</v>
      </c>
      <c r="C767" s="3" t="s">
        <v>38</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39</v>
      </c>
      <c r="D768" s="4">
        <v>50000</v>
      </c>
      <c r="E768" s="3">
        <v>4</v>
      </c>
      <c r="F768" s="3" t="s">
        <v>13</v>
      </c>
      <c r="G768" s="3" t="s">
        <v>14</v>
      </c>
      <c r="H768" s="3" t="s">
        <v>15</v>
      </c>
      <c r="I768" s="3">
        <v>3</v>
      </c>
      <c r="J768" s="3" t="s">
        <v>46</v>
      </c>
      <c r="K768" s="3" t="s">
        <v>32</v>
      </c>
      <c r="L768" s="3">
        <v>42</v>
      </c>
      <c r="M768" s="3" t="str">
        <f t="shared" si="11"/>
        <v>Middle Age</v>
      </c>
      <c r="N768" s="3" t="s">
        <v>18</v>
      </c>
    </row>
    <row r="769" spans="1:14" x14ac:dyDescent="0.25">
      <c r="A769" s="3">
        <v>24979</v>
      </c>
      <c r="B769" s="3" t="s">
        <v>36</v>
      </c>
      <c r="C769" s="3" t="s">
        <v>38</v>
      </c>
      <c r="D769" s="4">
        <v>60000</v>
      </c>
      <c r="E769" s="3">
        <v>2</v>
      </c>
      <c r="F769" s="3" t="s">
        <v>19</v>
      </c>
      <c r="G769" s="3" t="s">
        <v>21</v>
      </c>
      <c r="H769" s="3" t="s">
        <v>15</v>
      </c>
      <c r="I769" s="3">
        <v>2</v>
      </c>
      <c r="J769" s="3" t="s">
        <v>22</v>
      </c>
      <c r="K769" s="3" t="s">
        <v>32</v>
      </c>
      <c r="L769" s="3">
        <v>57</v>
      </c>
      <c r="M769" s="3" t="str">
        <f t="shared" si="11"/>
        <v>Old Age</v>
      </c>
      <c r="N769" s="3" t="s">
        <v>15</v>
      </c>
    </row>
    <row r="770" spans="1:14" x14ac:dyDescent="0.25">
      <c r="A770" s="3">
        <v>13313</v>
      </c>
      <c r="B770" s="3" t="s">
        <v>36</v>
      </c>
      <c r="C770" s="3" t="s">
        <v>38</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38</v>
      </c>
      <c r="D771" s="4">
        <v>100000</v>
      </c>
      <c r="E771" s="3">
        <v>4</v>
      </c>
      <c r="F771" s="3" t="s">
        <v>13</v>
      </c>
      <c r="G771" s="3" t="s">
        <v>28</v>
      </c>
      <c r="H771" s="3" t="s">
        <v>15</v>
      </c>
      <c r="I771" s="3">
        <v>4</v>
      </c>
      <c r="J771" s="3" t="s">
        <v>16</v>
      </c>
      <c r="K771" s="3" t="s">
        <v>32</v>
      </c>
      <c r="L771" s="3">
        <v>40</v>
      </c>
      <c r="M771" s="3" t="str">
        <f t="shared" ref="M771:M834" si="12">IF(L771&gt;51,"Old Age",IF(L771&gt;=31,"Middle Age",IF(L771&lt;31,"Youth","Invalid")))</f>
        <v>Middle Age</v>
      </c>
      <c r="N771" s="3" t="s">
        <v>18</v>
      </c>
    </row>
    <row r="772" spans="1:14" x14ac:dyDescent="0.25">
      <c r="A772" s="3">
        <v>17699</v>
      </c>
      <c r="B772" s="3" t="s">
        <v>36</v>
      </c>
      <c r="C772" s="3" t="s">
        <v>39</v>
      </c>
      <c r="D772" s="4">
        <v>60000</v>
      </c>
      <c r="E772" s="3">
        <v>1</v>
      </c>
      <c r="F772" s="3" t="s">
        <v>31</v>
      </c>
      <c r="G772" s="3" t="s">
        <v>14</v>
      </c>
      <c r="H772" s="3" t="s">
        <v>18</v>
      </c>
      <c r="I772" s="3">
        <v>0</v>
      </c>
      <c r="J772" s="3" t="s">
        <v>16</v>
      </c>
      <c r="K772" s="3" t="s">
        <v>32</v>
      </c>
      <c r="L772" s="3">
        <v>55</v>
      </c>
      <c r="M772" s="3" t="str">
        <f t="shared" si="12"/>
        <v>Old Age</v>
      </c>
      <c r="N772" s="3" t="s">
        <v>18</v>
      </c>
    </row>
    <row r="773" spans="1:14" x14ac:dyDescent="0.25">
      <c r="A773" s="3">
        <v>14657</v>
      </c>
      <c r="B773" s="3" t="s">
        <v>36</v>
      </c>
      <c r="C773" s="3" t="s">
        <v>39</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39</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38</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38</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39</v>
      </c>
      <c r="D777" s="4">
        <v>70000</v>
      </c>
      <c r="E777" s="3">
        <v>2</v>
      </c>
      <c r="F777" s="3" t="s">
        <v>29</v>
      </c>
      <c r="G777" s="3" t="s">
        <v>14</v>
      </c>
      <c r="H777" s="3" t="s">
        <v>15</v>
      </c>
      <c r="I777" s="3">
        <v>2</v>
      </c>
      <c r="J777" s="3" t="s">
        <v>46</v>
      </c>
      <c r="K777" s="3" t="s">
        <v>32</v>
      </c>
      <c r="L777" s="3">
        <v>54</v>
      </c>
      <c r="M777" s="3" t="str">
        <f t="shared" si="12"/>
        <v>Old Age</v>
      </c>
      <c r="N777" s="3" t="s">
        <v>18</v>
      </c>
    </row>
    <row r="778" spans="1:14" x14ac:dyDescent="0.25">
      <c r="A778" s="3">
        <v>26490</v>
      </c>
      <c r="B778" s="3" t="s">
        <v>37</v>
      </c>
      <c r="C778" s="3" t="s">
        <v>39</v>
      </c>
      <c r="D778" s="4">
        <v>70000</v>
      </c>
      <c r="E778" s="3">
        <v>2</v>
      </c>
      <c r="F778" s="3" t="s">
        <v>13</v>
      </c>
      <c r="G778" s="3" t="s">
        <v>28</v>
      </c>
      <c r="H778" s="3" t="s">
        <v>18</v>
      </c>
      <c r="I778" s="3">
        <v>1</v>
      </c>
      <c r="J778" s="3" t="s">
        <v>22</v>
      </c>
      <c r="K778" s="3" t="s">
        <v>32</v>
      </c>
      <c r="L778" s="3">
        <v>59</v>
      </c>
      <c r="M778" s="3" t="str">
        <f t="shared" si="12"/>
        <v>Old Age</v>
      </c>
      <c r="N778" s="3" t="s">
        <v>15</v>
      </c>
    </row>
    <row r="779" spans="1:14" x14ac:dyDescent="0.25">
      <c r="A779" s="3">
        <v>13151</v>
      </c>
      <c r="B779" s="3" t="s">
        <v>37</v>
      </c>
      <c r="C779" s="3" t="s">
        <v>39</v>
      </c>
      <c r="D779" s="4">
        <v>40000</v>
      </c>
      <c r="E779" s="3">
        <v>0</v>
      </c>
      <c r="F779" s="3" t="s">
        <v>27</v>
      </c>
      <c r="G779" s="3" t="s">
        <v>14</v>
      </c>
      <c r="H779" s="3" t="s">
        <v>15</v>
      </c>
      <c r="I779" s="3">
        <v>2</v>
      </c>
      <c r="J779" s="3" t="s">
        <v>23</v>
      </c>
      <c r="K779" s="3" t="s">
        <v>32</v>
      </c>
      <c r="L779" s="3">
        <v>27</v>
      </c>
      <c r="M779" s="3" t="str">
        <f t="shared" si="12"/>
        <v>Youth</v>
      </c>
      <c r="N779" s="3" t="s">
        <v>18</v>
      </c>
    </row>
    <row r="780" spans="1:14" x14ac:dyDescent="0.25">
      <c r="A780" s="3">
        <v>17260</v>
      </c>
      <c r="B780" s="3" t="s">
        <v>36</v>
      </c>
      <c r="C780" s="3" t="s">
        <v>39</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39</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38</v>
      </c>
      <c r="D782" s="4">
        <v>60000</v>
      </c>
      <c r="E782" s="3">
        <v>2</v>
      </c>
      <c r="F782" s="3" t="s">
        <v>19</v>
      </c>
      <c r="G782" s="3" t="s">
        <v>21</v>
      </c>
      <c r="H782" s="3" t="s">
        <v>15</v>
      </c>
      <c r="I782" s="3">
        <v>1</v>
      </c>
      <c r="J782" s="3" t="s">
        <v>46</v>
      </c>
      <c r="K782" s="3" t="s">
        <v>32</v>
      </c>
      <c r="L782" s="3">
        <v>55</v>
      </c>
      <c r="M782" s="3" t="str">
        <f t="shared" si="12"/>
        <v>Old Age</v>
      </c>
      <c r="N782" s="3" t="s">
        <v>18</v>
      </c>
    </row>
    <row r="783" spans="1:14" x14ac:dyDescent="0.25">
      <c r="A783" s="3">
        <v>19660</v>
      </c>
      <c r="B783" s="3" t="s">
        <v>36</v>
      </c>
      <c r="C783" s="3" t="s">
        <v>39</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39</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39</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38</v>
      </c>
      <c r="D786" s="4">
        <v>10000</v>
      </c>
      <c r="E786" s="3">
        <v>2</v>
      </c>
      <c r="F786" s="3" t="s">
        <v>27</v>
      </c>
      <c r="G786" s="3" t="s">
        <v>25</v>
      </c>
      <c r="H786" s="3" t="s">
        <v>15</v>
      </c>
      <c r="I786" s="3">
        <v>2</v>
      </c>
      <c r="J786" s="3" t="s">
        <v>26</v>
      </c>
      <c r="K786" s="3" t="s">
        <v>32</v>
      </c>
      <c r="L786" s="3">
        <v>53</v>
      </c>
      <c r="M786" s="3" t="str">
        <f t="shared" si="12"/>
        <v>Old Age</v>
      </c>
      <c r="N786" s="3" t="s">
        <v>15</v>
      </c>
    </row>
    <row r="787" spans="1:14" x14ac:dyDescent="0.25">
      <c r="A787" s="3">
        <v>24496</v>
      </c>
      <c r="B787" s="3" t="s">
        <v>37</v>
      </c>
      <c r="C787" s="3" t="s">
        <v>38</v>
      </c>
      <c r="D787" s="4">
        <v>40000</v>
      </c>
      <c r="E787" s="3">
        <v>0</v>
      </c>
      <c r="F787" s="3" t="s">
        <v>27</v>
      </c>
      <c r="G787" s="3" t="s">
        <v>14</v>
      </c>
      <c r="H787" s="3" t="s">
        <v>18</v>
      </c>
      <c r="I787" s="3">
        <v>2</v>
      </c>
      <c r="J787" s="3" t="s">
        <v>16</v>
      </c>
      <c r="K787" s="3" t="s">
        <v>32</v>
      </c>
      <c r="L787" s="3">
        <v>28</v>
      </c>
      <c r="M787" s="3" t="str">
        <f t="shared" si="12"/>
        <v>Youth</v>
      </c>
      <c r="N787" s="3" t="s">
        <v>15</v>
      </c>
    </row>
    <row r="788" spans="1:14" x14ac:dyDescent="0.25">
      <c r="A788" s="3">
        <v>15468</v>
      </c>
      <c r="B788" s="3" t="s">
        <v>36</v>
      </c>
      <c r="C788" s="3" t="s">
        <v>38</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38</v>
      </c>
      <c r="D789" s="4">
        <v>70000</v>
      </c>
      <c r="E789" s="3">
        <v>2</v>
      </c>
      <c r="F789" s="3" t="s">
        <v>13</v>
      </c>
      <c r="G789" s="3" t="s">
        <v>28</v>
      </c>
      <c r="H789" s="3" t="s">
        <v>18</v>
      </c>
      <c r="I789" s="3">
        <v>1</v>
      </c>
      <c r="J789" s="3" t="s">
        <v>22</v>
      </c>
      <c r="K789" s="3" t="s">
        <v>32</v>
      </c>
      <c r="L789" s="3">
        <v>59</v>
      </c>
      <c r="M789" s="3" t="str">
        <f t="shared" si="12"/>
        <v>Old Age</v>
      </c>
      <c r="N789" s="3" t="s">
        <v>15</v>
      </c>
    </row>
    <row r="790" spans="1:14" x14ac:dyDescent="0.25">
      <c r="A790" s="3">
        <v>26270</v>
      </c>
      <c r="B790" s="3" t="s">
        <v>37</v>
      </c>
      <c r="C790" s="3" t="s">
        <v>38</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39</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38</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39</v>
      </c>
      <c r="D793" s="4">
        <v>40000</v>
      </c>
      <c r="E793" s="3">
        <v>0</v>
      </c>
      <c r="F793" s="3" t="s">
        <v>27</v>
      </c>
      <c r="G793" s="3" t="s">
        <v>14</v>
      </c>
      <c r="H793" s="3" t="s">
        <v>15</v>
      </c>
      <c r="I793" s="3">
        <v>2</v>
      </c>
      <c r="J793" s="3" t="s">
        <v>23</v>
      </c>
      <c r="K793" s="3" t="s">
        <v>32</v>
      </c>
      <c r="L793" s="3">
        <v>28</v>
      </c>
      <c r="M793" s="3" t="str">
        <f t="shared" si="12"/>
        <v>Youth</v>
      </c>
      <c r="N793" s="3" t="s">
        <v>15</v>
      </c>
    </row>
    <row r="794" spans="1:14" x14ac:dyDescent="0.25">
      <c r="A794" s="3">
        <v>23256</v>
      </c>
      <c r="B794" s="3" t="s">
        <v>37</v>
      </c>
      <c r="C794" s="3" t="s">
        <v>39</v>
      </c>
      <c r="D794" s="4">
        <v>30000</v>
      </c>
      <c r="E794" s="3">
        <v>1</v>
      </c>
      <c r="F794" s="3" t="s">
        <v>27</v>
      </c>
      <c r="G794" s="3" t="s">
        <v>20</v>
      </c>
      <c r="H794" s="3" t="s">
        <v>18</v>
      </c>
      <c r="I794" s="3">
        <v>1</v>
      </c>
      <c r="J794" s="3" t="s">
        <v>23</v>
      </c>
      <c r="K794" s="3" t="s">
        <v>32</v>
      </c>
      <c r="L794" s="3">
        <v>52</v>
      </c>
      <c r="M794" s="3" t="str">
        <f t="shared" si="12"/>
        <v>Old Age</v>
      </c>
      <c r="N794" s="3" t="s">
        <v>18</v>
      </c>
    </row>
    <row r="795" spans="1:14" x14ac:dyDescent="0.25">
      <c r="A795" s="3">
        <v>12768</v>
      </c>
      <c r="B795" s="3" t="s">
        <v>36</v>
      </c>
      <c r="C795" s="3" t="s">
        <v>39</v>
      </c>
      <c r="D795" s="4">
        <v>30000</v>
      </c>
      <c r="E795" s="3">
        <v>1</v>
      </c>
      <c r="F795" s="3" t="s">
        <v>27</v>
      </c>
      <c r="G795" s="3" t="s">
        <v>20</v>
      </c>
      <c r="H795" s="3" t="s">
        <v>15</v>
      </c>
      <c r="I795" s="3">
        <v>1</v>
      </c>
      <c r="J795" s="3" t="s">
        <v>22</v>
      </c>
      <c r="K795" s="3" t="s">
        <v>32</v>
      </c>
      <c r="L795" s="3">
        <v>52</v>
      </c>
      <c r="M795" s="3" t="str">
        <f t="shared" si="12"/>
        <v>Old Age</v>
      </c>
      <c r="N795" s="3" t="s">
        <v>15</v>
      </c>
    </row>
    <row r="796" spans="1:14" x14ac:dyDescent="0.25">
      <c r="A796" s="3">
        <v>20361</v>
      </c>
      <c r="B796" s="3" t="s">
        <v>36</v>
      </c>
      <c r="C796" s="3" t="s">
        <v>39</v>
      </c>
      <c r="D796" s="4">
        <v>50000</v>
      </c>
      <c r="E796" s="3">
        <v>2</v>
      </c>
      <c r="F796" s="3" t="s">
        <v>31</v>
      </c>
      <c r="G796" s="3" t="s">
        <v>28</v>
      </c>
      <c r="H796" s="3" t="s">
        <v>15</v>
      </c>
      <c r="I796" s="3">
        <v>2</v>
      </c>
      <c r="J796" s="3" t="s">
        <v>23</v>
      </c>
      <c r="K796" s="3" t="s">
        <v>32</v>
      </c>
      <c r="L796" s="3">
        <v>69</v>
      </c>
      <c r="M796" s="3" t="str">
        <f t="shared" si="12"/>
        <v>Old Age</v>
      </c>
      <c r="N796" s="3" t="s">
        <v>18</v>
      </c>
    </row>
    <row r="797" spans="1:14" x14ac:dyDescent="0.25">
      <c r="A797" s="3">
        <v>21306</v>
      </c>
      <c r="B797" s="3" t="s">
        <v>37</v>
      </c>
      <c r="C797" s="3" t="s">
        <v>39</v>
      </c>
      <c r="D797" s="4">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39</v>
      </c>
      <c r="D798" s="4">
        <v>70000</v>
      </c>
      <c r="E798" s="3">
        <v>5</v>
      </c>
      <c r="F798" s="3" t="s">
        <v>19</v>
      </c>
      <c r="G798" s="3" t="s">
        <v>21</v>
      </c>
      <c r="H798" s="3" t="s">
        <v>15</v>
      </c>
      <c r="I798" s="3">
        <v>2</v>
      </c>
      <c r="J798" s="3" t="s">
        <v>26</v>
      </c>
      <c r="K798" s="3" t="s">
        <v>32</v>
      </c>
      <c r="L798" s="3">
        <v>57</v>
      </c>
      <c r="M798" s="3" t="str">
        <f t="shared" si="12"/>
        <v>Old Age</v>
      </c>
      <c r="N798" s="3" t="s">
        <v>15</v>
      </c>
    </row>
    <row r="799" spans="1:14" x14ac:dyDescent="0.25">
      <c r="A799" s="3">
        <v>20310</v>
      </c>
      <c r="B799" s="3" t="s">
        <v>37</v>
      </c>
      <c r="C799" s="3" t="s">
        <v>39</v>
      </c>
      <c r="D799" s="4">
        <v>60000</v>
      </c>
      <c r="E799" s="3">
        <v>0</v>
      </c>
      <c r="F799" s="3" t="s">
        <v>19</v>
      </c>
      <c r="G799" s="3" t="s">
        <v>14</v>
      </c>
      <c r="H799" s="3" t="s">
        <v>15</v>
      </c>
      <c r="I799" s="3">
        <v>1</v>
      </c>
      <c r="J799" s="3" t="s">
        <v>23</v>
      </c>
      <c r="K799" s="3" t="s">
        <v>32</v>
      </c>
      <c r="L799" s="3">
        <v>27</v>
      </c>
      <c r="M799" s="3" t="str">
        <f t="shared" si="12"/>
        <v>Youth</v>
      </c>
      <c r="N799" s="3" t="s">
        <v>15</v>
      </c>
    </row>
    <row r="800" spans="1:14" x14ac:dyDescent="0.25">
      <c r="A800" s="3">
        <v>22971</v>
      </c>
      <c r="B800" s="3" t="s">
        <v>37</v>
      </c>
      <c r="C800" s="3" t="s">
        <v>38</v>
      </c>
      <c r="D800" s="4">
        <v>30000</v>
      </c>
      <c r="E800" s="3">
        <v>0</v>
      </c>
      <c r="F800" s="3" t="s">
        <v>27</v>
      </c>
      <c r="G800" s="3" t="s">
        <v>14</v>
      </c>
      <c r="H800" s="3" t="s">
        <v>18</v>
      </c>
      <c r="I800" s="3">
        <v>2</v>
      </c>
      <c r="J800" s="3" t="s">
        <v>16</v>
      </c>
      <c r="K800" s="3" t="s">
        <v>32</v>
      </c>
      <c r="L800" s="3">
        <v>25</v>
      </c>
      <c r="M800" s="3" t="str">
        <f t="shared" si="12"/>
        <v>Youth</v>
      </c>
      <c r="N800" s="3" t="s">
        <v>15</v>
      </c>
    </row>
    <row r="801" spans="1:14" x14ac:dyDescent="0.25">
      <c r="A801" s="3">
        <v>15287</v>
      </c>
      <c r="B801" s="3" t="s">
        <v>37</v>
      </c>
      <c r="C801" s="3" t="s">
        <v>38</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39</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39</v>
      </c>
      <c r="D803" s="4">
        <v>70000</v>
      </c>
      <c r="E803" s="3">
        <v>4</v>
      </c>
      <c r="F803" s="3" t="s">
        <v>31</v>
      </c>
      <c r="G803" s="3" t="s">
        <v>28</v>
      </c>
      <c r="H803" s="3" t="s">
        <v>15</v>
      </c>
      <c r="I803" s="3">
        <v>2</v>
      </c>
      <c r="J803" s="3" t="s">
        <v>23</v>
      </c>
      <c r="K803" s="3" t="s">
        <v>32</v>
      </c>
      <c r="L803" s="3">
        <v>73</v>
      </c>
      <c r="M803" s="3" t="str">
        <f t="shared" si="12"/>
        <v>Old Age</v>
      </c>
      <c r="N803" s="3" t="s">
        <v>18</v>
      </c>
    </row>
    <row r="804" spans="1:14" x14ac:dyDescent="0.25">
      <c r="A804" s="3">
        <v>28090</v>
      </c>
      <c r="B804" s="3" t="s">
        <v>36</v>
      </c>
      <c r="C804" s="3" t="s">
        <v>39</v>
      </c>
      <c r="D804" s="4">
        <v>40000</v>
      </c>
      <c r="E804" s="3">
        <v>0</v>
      </c>
      <c r="F804" s="3" t="s">
        <v>19</v>
      </c>
      <c r="G804" s="3" t="s">
        <v>14</v>
      </c>
      <c r="H804" s="3" t="s">
        <v>15</v>
      </c>
      <c r="I804" s="3">
        <v>1</v>
      </c>
      <c r="J804" s="3" t="s">
        <v>23</v>
      </c>
      <c r="K804" s="3" t="s">
        <v>32</v>
      </c>
      <c r="L804" s="3">
        <v>27</v>
      </c>
      <c r="M804" s="3" t="str">
        <f t="shared" si="12"/>
        <v>Youth</v>
      </c>
      <c r="N804" s="3" t="s">
        <v>18</v>
      </c>
    </row>
    <row r="805" spans="1:14" x14ac:dyDescent="0.25">
      <c r="A805" s="3">
        <v>15255</v>
      </c>
      <c r="B805" s="3" t="s">
        <v>36</v>
      </c>
      <c r="C805" s="3" t="s">
        <v>39</v>
      </c>
      <c r="D805" s="4">
        <v>40000</v>
      </c>
      <c r="E805" s="3">
        <v>0</v>
      </c>
      <c r="F805" s="3" t="s">
        <v>27</v>
      </c>
      <c r="G805" s="3" t="s">
        <v>14</v>
      </c>
      <c r="H805" s="3" t="s">
        <v>15</v>
      </c>
      <c r="I805" s="3">
        <v>2</v>
      </c>
      <c r="J805" s="3" t="s">
        <v>23</v>
      </c>
      <c r="K805" s="3" t="s">
        <v>32</v>
      </c>
      <c r="L805" s="3">
        <v>28</v>
      </c>
      <c r="M805" s="3" t="str">
        <f t="shared" si="12"/>
        <v>Youth</v>
      </c>
      <c r="N805" s="3" t="s">
        <v>15</v>
      </c>
    </row>
    <row r="806" spans="1:14" x14ac:dyDescent="0.25">
      <c r="A806" s="3">
        <v>13154</v>
      </c>
      <c r="B806" s="3" t="s">
        <v>36</v>
      </c>
      <c r="C806" s="3" t="s">
        <v>39</v>
      </c>
      <c r="D806" s="4">
        <v>40000</v>
      </c>
      <c r="E806" s="3">
        <v>0</v>
      </c>
      <c r="F806" s="3" t="s">
        <v>27</v>
      </c>
      <c r="G806" s="3" t="s">
        <v>14</v>
      </c>
      <c r="H806" s="3" t="s">
        <v>18</v>
      </c>
      <c r="I806" s="3">
        <v>2</v>
      </c>
      <c r="J806" s="3" t="s">
        <v>16</v>
      </c>
      <c r="K806" s="3" t="s">
        <v>32</v>
      </c>
      <c r="L806" s="3">
        <v>27</v>
      </c>
      <c r="M806" s="3" t="str">
        <f t="shared" si="12"/>
        <v>Youth</v>
      </c>
      <c r="N806" s="3" t="s">
        <v>15</v>
      </c>
    </row>
    <row r="807" spans="1:14" x14ac:dyDescent="0.25">
      <c r="A807" s="3">
        <v>26778</v>
      </c>
      <c r="B807" s="3" t="s">
        <v>37</v>
      </c>
      <c r="C807" s="3" t="s">
        <v>38</v>
      </c>
      <c r="D807" s="4">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38</v>
      </c>
      <c r="D808" s="4">
        <v>10000</v>
      </c>
      <c r="E808" s="3">
        <v>2</v>
      </c>
      <c r="F808" s="3" t="s">
        <v>27</v>
      </c>
      <c r="G808" s="3" t="s">
        <v>25</v>
      </c>
      <c r="H808" s="3" t="s">
        <v>15</v>
      </c>
      <c r="I808" s="3">
        <v>2</v>
      </c>
      <c r="J808" s="3" t="s">
        <v>26</v>
      </c>
      <c r="K808" s="3" t="s">
        <v>32</v>
      </c>
      <c r="L808" s="3">
        <v>53</v>
      </c>
      <c r="M808" s="3" t="str">
        <f t="shared" si="12"/>
        <v>Old Age</v>
      </c>
      <c r="N808" s="3" t="s">
        <v>18</v>
      </c>
    </row>
    <row r="809" spans="1:14" x14ac:dyDescent="0.25">
      <c r="A809" s="3">
        <v>21417</v>
      </c>
      <c r="B809" s="3" t="s">
        <v>37</v>
      </c>
      <c r="C809" s="3" t="s">
        <v>38</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39</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38</v>
      </c>
      <c r="D811" s="4">
        <v>40000</v>
      </c>
      <c r="E811" s="3">
        <v>4</v>
      </c>
      <c r="F811" s="3" t="s">
        <v>27</v>
      </c>
      <c r="G811" s="3" t="s">
        <v>21</v>
      </c>
      <c r="H811" s="3" t="s">
        <v>15</v>
      </c>
      <c r="I811" s="3">
        <v>2</v>
      </c>
      <c r="J811" s="3" t="s">
        <v>23</v>
      </c>
      <c r="K811" s="3" t="s">
        <v>32</v>
      </c>
      <c r="L811" s="3">
        <v>69</v>
      </c>
      <c r="M811" s="3" t="str">
        <f t="shared" si="12"/>
        <v>Old Age</v>
      </c>
      <c r="N811" s="3" t="s">
        <v>18</v>
      </c>
    </row>
    <row r="812" spans="1:14" x14ac:dyDescent="0.25">
      <c r="A812" s="3">
        <v>20376</v>
      </c>
      <c r="B812" s="3" t="s">
        <v>37</v>
      </c>
      <c r="C812" s="3" t="s">
        <v>38</v>
      </c>
      <c r="D812" s="4">
        <v>70000</v>
      </c>
      <c r="E812" s="3">
        <v>3</v>
      </c>
      <c r="F812" s="3" t="s">
        <v>31</v>
      </c>
      <c r="G812" s="3" t="s">
        <v>28</v>
      </c>
      <c r="H812" s="3" t="s">
        <v>15</v>
      </c>
      <c r="I812" s="3">
        <v>2</v>
      </c>
      <c r="J812" s="3" t="s">
        <v>23</v>
      </c>
      <c r="K812" s="3" t="s">
        <v>32</v>
      </c>
      <c r="L812" s="3">
        <v>52</v>
      </c>
      <c r="M812" s="3" t="str">
        <f t="shared" si="12"/>
        <v>Old Age</v>
      </c>
      <c r="N812" s="3" t="s">
        <v>15</v>
      </c>
    </row>
    <row r="813" spans="1:14" x14ac:dyDescent="0.25">
      <c r="A813" s="3">
        <v>25954</v>
      </c>
      <c r="B813" s="3" t="s">
        <v>36</v>
      </c>
      <c r="C813" s="3" t="s">
        <v>39</v>
      </c>
      <c r="D813" s="4">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38</v>
      </c>
      <c r="D814" s="4">
        <v>70000</v>
      </c>
      <c r="E814" s="3">
        <v>4</v>
      </c>
      <c r="F814" s="3" t="s">
        <v>13</v>
      </c>
      <c r="G814" s="3" t="s">
        <v>28</v>
      </c>
      <c r="H814" s="3" t="s">
        <v>15</v>
      </c>
      <c r="I814" s="3">
        <v>2</v>
      </c>
      <c r="J814" s="3" t="s">
        <v>46</v>
      </c>
      <c r="K814" s="3" t="s">
        <v>32</v>
      </c>
      <c r="L814" s="3">
        <v>61</v>
      </c>
      <c r="M814" s="3" t="str">
        <f t="shared" si="12"/>
        <v>Old Age</v>
      </c>
      <c r="N814" s="3" t="s">
        <v>18</v>
      </c>
    </row>
    <row r="815" spans="1:14" x14ac:dyDescent="0.25">
      <c r="A815" s="3">
        <v>25899</v>
      </c>
      <c r="B815" s="3" t="s">
        <v>36</v>
      </c>
      <c r="C815" s="3" t="s">
        <v>38</v>
      </c>
      <c r="D815" s="4">
        <v>70000</v>
      </c>
      <c r="E815" s="3">
        <v>2</v>
      </c>
      <c r="F815" s="3" t="s">
        <v>27</v>
      </c>
      <c r="G815" s="3" t="s">
        <v>21</v>
      </c>
      <c r="H815" s="3" t="s">
        <v>15</v>
      </c>
      <c r="I815" s="3">
        <v>2</v>
      </c>
      <c r="J815" s="3" t="s">
        <v>46</v>
      </c>
      <c r="K815" s="3" t="s">
        <v>32</v>
      </c>
      <c r="L815" s="3">
        <v>53</v>
      </c>
      <c r="M815" s="3" t="str">
        <f t="shared" si="12"/>
        <v>Old Age</v>
      </c>
      <c r="N815" s="3" t="s">
        <v>18</v>
      </c>
    </row>
    <row r="816" spans="1:14" x14ac:dyDescent="0.25">
      <c r="A816" s="3">
        <v>13351</v>
      </c>
      <c r="B816" s="3" t="s">
        <v>37</v>
      </c>
      <c r="C816" s="3" t="s">
        <v>38</v>
      </c>
      <c r="D816" s="4">
        <v>70000</v>
      </c>
      <c r="E816" s="3">
        <v>4</v>
      </c>
      <c r="F816" s="3" t="s">
        <v>13</v>
      </c>
      <c r="G816" s="3" t="s">
        <v>28</v>
      </c>
      <c r="H816" s="3" t="s">
        <v>15</v>
      </c>
      <c r="I816" s="3">
        <v>2</v>
      </c>
      <c r="J816" s="3" t="s">
        <v>26</v>
      </c>
      <c r="K816" s="3" t="s">
        <v>32</v>
      </c>
      <c r="L816" s="3">
        <v>62</v>
      </c>
      <c r="M816" s="3" t="str">
        <f t="shared" si="12"/>
        <v>Old Age</v>
      </c>
      <c r="N816" s="3" t="s">
        <v>15</v>
      </c>
    </row>
    <row r="817" spans="1:14" x14ac:dyDescent="0.25">
      <c r="A817" s="3">
        <v>23333</v>
      </c>
      <c r="B817" s="3" t="s">
        <v>36</v>
      </c>
      <c r="C817" s="3" t="s">
        <v>39</v>
      </c>
      <c r="D817" s="4">
        <v>40000</v>
      </c>
      <c r="E817" s="3">
        <v>0</v>
      </c>
      <c r="F817" s="3" t="s">
        <v>19</v>
      </c>
      <c r="G817" s="3" t="s">
        <v>14</v>
      </c>
      <c r="H817" s="3" t="s">
        <v>18</v>
      </c>
      <c r="I817" s="3">
        <v>2</v>
      </c>
      <c r="J817" s="3" t="s">
        <v>26</v>
      </c>
      <c r="K817" s="3" t="s">
        <v>32</v>
      </c>
      <c r="L817" s="3">
        <v>30</v>
      </c>
      <c r="M817" s="3" t="str">
        <f t="shared" si="12"/>
        <v>Youth</v>
      </c>
      <c r="N817" s="3" t="s">
        <v>18</v>
      </c>
    </row>
    <row r="818" spans="1:14" x14ac:dyDescent="0.25">
      <c r="A818" s="3">
        <v>21660</v>
      </c>
      <c r="B818" s="3" t="s">
        <v>36</v>
      </c>
      <c r="C818" s="3" t="s">
        <v>38</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38</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39</v>
      </c>
      <c r="D820" s="4">
        <v>40000</v>
      </c>
      <c r="E820" s="3">
        <v>0</v>
      </c>
      <c r="F820" s="3" t="s">
        <v>19</v>
      </c>
      <c r="G820" s="3" t="s">
        <v>14</v>
      </c>
      <c r="H820" s="3" t="s">
        <v>15</v>
      </c>
      <c r="I820" s="3">
        <v>1</v>
      </c>
      <c r="J820" s="3" t="s">
        <v>23</v>
      </c>
      <c r="K820" s="3" t="s">
        <v>32</v>
      </c>
      <c r="L820" s="3">
        <v>30</v>
      </c>
      <c r="M820" s="3" t="str">
        <f t="shared" si="12"/>
        <v>Youth</v>
      </c>
      <c r="N820" s="3" t="s">
        <v>18</v>
      </c>
    </row>
    <row r="821" spans="1:14" x14ac:dyDescent="0.25">
      <c r="A821" s="3">
        <v>27505</v>
      </c>
      <c r="B821" s="3" t="s">
        <v>37</v>
      </c>
      <c r="C821" s="3" t="s">
        <v>38</v>
      </c>
      <c r="D821" s="4">
        <v>40000</v>
      </c>
      <c r="E821" s="3">
        <v>0</v>
      </c>
      <c r="F821" s="3" t="s">
        <v>27</v>
      </c>
      <c r="G821" s="3" t="s">
        <v>14</v>
      </c>
      <c r="H821" s="3" t="s">
        <v>15</v>
      </c>
      <c r="I821" s="3">
        <v>2</v>
      </c>
      <c r="J821" s="3" t="s">
        <v>23</v>
      </c>
      <c r="K821" s="3" t="s">
        <v>32</v>
      </c>
      <c r="L821" s="3">
        <v>30</v>
      </c>
      <c r="M821" s="3" t="str">
        <f t="shared" si="12"/>
        <v>Youth</v>
      </c>
      <c r="N821" s="3" t="s">
        <v>18</v>
      </c>
    </row>
    <row r="822" spans="1:14" x14ac:dyDescent="0.25">
      <c r="A822" s="3">
        <v>29243</v>
      </c>
      <c r="B822" s="3" t="s">
        <v>37</v>
      </c>
      <c r="C822" s="3" t="s">
        <v>39</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39</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39</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38</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39</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39</v>
      </c>
      <c r="D827" s="4">
        <v>70000</v>
      </c>
      <c r="E827" s="3">
        <v>3</v>
      </c>
      <c r="F827" s="3" t="s">
        <v>27</v>
      </c>
      <c r="G827" s="3" t="s">
        <v>21</v>
      </c>
      <c r="H827" s="3" t="s">
        <v>18</v>
      </c>
      <c r="I827" s="3">
        <v>1</v>
      </c>
      <c r="J827" s="3" t="s">
        <v>26</v>
      </c>
      <c r="K827" s="3" t="s">
        <v>32</v>
      </c>
      <c r="L827" s="3">
        <v>52</v>
      </c>
      <c r="M827" s="3" t="str">
        <f t="shared" si="12"/>
        <v>Old Age</v>
      </c>
      <c r="N827" s="3" t="s">
        <v>15</v>
      </c>
    </row>
    <row r="828" spans="1:14" x14ac:dyDescent="0.25">
      <c r="A828" s="3">
        <v>15501</v>
      </c>
      <c r="B828" s="3" t="s">
        <v>36</v>
      </c>
      <c r="C828" s="3" t="s">
        <v>39</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38</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38</v>
      </c>
      <c r="D830" s="4">
        <v>40000</v>
      </c>
      <c r="E830" s="3">
        <v>0</v>
      </c>
      <c r="F830" s="3" t="s">
        <v>29</v>
      </c>
      <c r="G830" s="3" t="s">
        <v>20</v>
      </c>
      <c r="H830" s="3" t="s">
        <v>15</v>
      </c>
      <c r="I830" s="3">
        <v>2</v>
      </c>
      <c r="J830" s="3" t="s">
        <v>23</v>
      </c>
      <c r="K830" s="3" t="s">
        <v>32</v>
      </c>
      <c r="L830" s="3">
        <v>26</v>
      </c>
      <c r="M830" s="3" t="str">
        <f t="shared" si="12"/>
        <v>Youth</v>
      </c>
      <c r="N830" s="3" t="s">
        <v>18</v>
      </c>
    </row>
    <row r="831" spans="1:14" x14ac:dyDescent="0.25">
      <c r="A831" s="3">
        <v>16009</v>
      </c>
      <c r="B831" s="3" t="s">
        <v>37</v>
      </c>
      <c r="C831" s="3" t="s">
        <v>39</v>
      </c>
      <c r="D831" s="4">
        <v>170000</v>
      </c>
      <c r="E831" s="3">
        <v>1</v>
      </c>
      <c r="F831" s="3" t="s">
        <v>31</v>
      </c>
      <c r="G831" s="3" t="s">
        <v>28</v>
      </c>
      <c r="H831" s="3" t="s">
        <v>18</v>
      </c>
      <c r="I831" s="3">
        <v>4</v>
      </c>
      <c r="J831" s="3" t="s">
        <v>16</v>
      </c>
      <c r="K831" s="3" t="s">
        <v>32</v>
      </c>
      <c r="L831" s="3">
        <v>66</v>
      </c>
      <c r="M831" s="3" t="str">
        <f t="shared" si="12"/>
        <v>Old Age</v>
      </c>
      <c r="N831" s="3" t="s">
        <v>18</v>
      </c>
    </row>
    <row r="832" spans="1:14" x14ac:dyDescent="0.25">
      <c r="A832" s="3">
        <v>18411</v>
      </c>
      <c r="B832" s="3" t="s">
        <v>36</v>
      </c>
      <c r="C832" s="3" t="s">
        <v>39</v>
      </c>
      <c r="D832" s="4">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38</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38</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38</v>
      </c>
      <c r="D835" s="4">
        <v>70000</v>
      </c>
      <c r="E835" s="3">
        <v>0</v>
      </c>
      <c r="F835" s="3" t="s">
        <v>13</v>
      </c>
      <c r="G835" s="3" t="s">
        <v>21</v>
      </c>
      <c r="H835" s="3" t="s">
        <v>18</v>
      </c>
      <c r="I835" s="3">
        <v>1</v>
      </c>
      <c r="J835" s="3" t="s">
        <v>16</v>
      </c>
      <c r="K835" s="3" t="s">
        <v>32</v>
      </c>
      <c r="L835" s="3">
        <v>37</v>
      </c>
      <c r="M835" s="3" t="str">
        <f t="shared" ref="M835:M898" si="13">IF(L835&gt;51,"Old Age",IF(L835&gt;=31,"Middle Age",IF(L835&lt;31,"Youth","Invalid")))</f>
        <v>Middle Age</v>
      </c>
      <c r="N835" s="3" t="s">
        <v>15</v>
      </c>
    </row>
    <row r="836" spans="1:14" x14ac:dyDescent="0.25">
      <c r="A836" s="3">
        <v>19889</v>
      </c>
      <c r="B836" s="3" t="s">
        <v>37</v>
      </c>
      <c r="C836" s="3" t="s">
        <v>38</v>
      </c>
      <c r="D836" s="4">
        <v>70000</v>
      </c>
      <c r="E836" s="3">
        <v>2</v>
      </c>
      <c r="F836" s="3" t="s">
        <v>29</v>
      </c>
      <c r="G836" s="3" t="s">
        <v>14</v>
      </c>
      <c r="H836" s="3" t="s">
        <v>18</v>
      </c>
      <c r="I836" s="3">
        <v>2</v>
      </c>
      <c r="J836" s="3" t="s">
        <v>22</v>
      </c>
      <c r="K836" s="3" t="s">
        <v>32</v>
      </c>
      <c r="L836" s="3">
        <v>54</v>
      </c>
      <c r="M836" s="3" t="str">
        <f t="shared" si="13"/>
        <v>Old Age</v>
      </c>
      <c r="N836" s="3" t="s">
        <v>15</v>
      </c>
    </row>
    <row r="837" spans="1:14" x14ac:dyDescent="0.25">
      <c r="A837" s="3">
        <v>12922</v>
      </c>
      <c r="B837" s="3" t="s">
        <v>37</v>
      </c>
      <c r="C837" s="3" t="s">
        <v>38</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38</v>
      </c>
      <c r="D838" s="4">
        <v>40000</v>
      </c>
      <c r="E838" s="3">
        <v>0</v>
      </c>
      <c r="F838" s="3" t="s">
        <v>19</v>
      </c>
      <c r="G838" s="3" t="s">
        <v>14</v>
      </c>
      <c r="H838" s="3" t="s">
        <v>15</v>
      </c>
      <c r="I838" s="3">
        <v>2</v>
      </c>
      <c r="J838" s="3" t="s">
        <v>23</v>
      </c>
      <c r="K838" s="3" t="s">
        <v>32</v>
      </c>
      <c r="L838" s="3">
        <v>28</v>
      </c>
      <c r="M838" s="3" t="str">
        <f t="shared" si="13"/>
        <v>Youth</v>
      </c>
      <c r="N838" s="3" t="s">
        <v>18</v>
      </c>
    </row>
    <row r="839" spans="1:14" x14ac:dyDescent="0.25">
      <c r="A839" s="3">
        <v>16773</v>
      </c>
      <c r="B839" s="3" t="s">
        <v>36</v>
      </c>
      <c r="C839" s="3" t="s">
        <v>39</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38</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38</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39</v>
      </c>
      <c r="D842" s="4">
        <v>70000</v>
      </c>
      <c r="E842" s="3">
        <v>4</v>
      </c>
      <c r="F842" s="3" t="s">
        <v>19</v>
      </c>
      <c r="G842" s="3" t="s">
        <v>21</v>
      </c>
      <c r="H842" s="3" t="s">
        <v>15</v>
      </c>
      <c r="I842" s="3">
        <v>2</v>
      </c>
      <c r="J842" s="3" t="s">
        <v>46</v>
      </c>
      <c r="K842" s="3" t="s">
        <v>32</v>
      </c>
      <c r="L842" s="3">
        <v>53</v>
      </c>
      <c r="M842" s="3" t="str">
        <f t="shared" si="13"/>
        <v>Old Age</v>
      </c>
      <c r="N842" s="3" t="s">
        <v>18</v>
      </c>
    </row>
    <row r="843" spans="1:14" x14ac:dyDescent="0.25">
      <c r="A843" s="3">
        <v>12056</v>
      </c>
      <c r="B843" s="3" t="s">
        <v>36</v>
      </c>
      <c r="C843" s="3" t="s">
        <v>39</v>
      </c>
      <c r="D843" s="4">
        <v>120000</v>
      </c>
      <c r="E843" s="3">
        <v>2</v>
      </c>
      <c r="F843" s="3" t="s">
        <v>31</v>
      </c>
      <c r="G843" s="3" t="s">
        <v>28</v>
      </c>
      <c r="H843" s="3" t="s">
        <v>15</v>
      </c>
      <c r="I843" s="3">
        <v>3</v>
      </c>
      <c r="J843" s="3" t="s">
        <v>23</v>
      </c>
      <c r="K843" s="3" t="s">
        <v>32</v>
      </c>
      <c r="L843" s="3">
        <v>64</v>
      </c>
      <c r="M843" s="3" t="str">
        <f t="shared" si="13"/>
        <v>Old Age</v>
      </c>
      <c r="N843" s="3" t="s">
        <v>18</v>
      </c>
    </row>
    <row r="844" spans="1:14" x14ac:dyDescent="0.25">
      <c r="A844" s="3">
        <v>15555</v>
      </c>
      <c r="B844" s="3" t="s">
        <v>36</v>
      </c>
      <c r="C844" s="3" t="s">
        <v>38</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39</v>
      </c>
      <c r="D845" s="4">
        <v>80000</v>
      </c>
      <c r="E845" s="3">
        <v>2</v>
      </c>
      <c r="F845" s="3" t="s">
        <v>29</v>
      </c>
      <c r="G845" s="3" t="s">
        <v>14</v>
      </c>
      <c r="H845" s="3" t="s">
        <v>18</v>
      </c>
      <c r="I845" s="3">
        <v>2</v>
      </c>
      <c r="J845" s="3" t="s">
        <v>26</v>
      </c>
      <c r="K845" s="3" t="s">
        <v>32</v>
      </c>
      <c r="L845" s="3">
        <v>52</v>
      </c>
      <c r="M845" s="3" t="str">
        <f t="shared" si="13"/>
        <v>Old Age</v>
      </c>
      <c r="N845" s="3" t="s">
        <v>18</v>
      </c>
    </row>
    <row r="846" spans="1:14" x14ac:dyDescent="0.25">
      <c r="A846" s="3">
        <v>22743</v>
      </c>
      <c r="B846" s="3" t="s">
        <v>36</v>
      </c>
      <c r="C846" s="3" t="s">
        <v>38</v>
      </c>
      <c r="D846" s="4">
        <v>40000</v>
      </c>
      <c r="E846" s="3">
        <v>5</v>
      </c>
      <c r="F846" s="3" t="s">
        <v>27</v>
      </c>
      <c r="G846" s="3" t="s">
        <v>21</v>
      </c>
      <c r="H846" s="3" t="s">
        <v>15</v>
      </c>
      <c r="I846" s="3">
        <v>2</v>
      </c>
      <c r="J846" s="3" t="s">
        <v>46</v>
      </c>
      <c r="K846" s="3" t="s">
        <v>32</v>
      </c>
      <c r="L846" s="3">
        <v>60</v>
      </c>
      <c r="M846" s="3" t="str">
        <f t="shared" si="13"/>
        <v>Old Age</v>
      </c>
      <c r="N846" s="3" t="s">
        <v>18</v>
      </c>
    </row>
    <row r="847" spans="1:14" x14ac:dyDescent="0.25">
      <c r="A847" s="3">
        <v>25343</v>
      </c>
      <c r="B847" s="3" t="s">
        <v>37</v>
      </c>
      <c r="C847" s="3" t="s">
        <v>38</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38</v>
      </c>
      <c r="D848" s="4">
        <v>70000</v>
      </c>
      <c r="E848" s="3">
        <v>4</v>
      </c>
      <c r="F848" s="3" t="s">
        <v>19</v>
      </c>
      <c r="G848" s="3" t="s">
        <v>21</v>
      </c>
      <c r="H848" s="3" t="s">
        <v>18</v>
      </c>
      <c r="I848" s="3">
        <v>1</v>
      </c>
      <c r="J848" s="3" t="s">
        <v>26</v>
      </c>
      <c r="K848" s="3" t="s">
        <v>32</v>
      </c>
      <c r="L848" s="3">
        <v>56</v>
      </c>
      <c r="M848" s="3" t="str">
        <f t="shared" si="13"/>
        <v>Old Age</v>
      </c>
      <c r="N848" s="3" t="s">
        <v>18</v>
      </c>
    </row>
    <row r="849" spans="1:14" x14ac:dyDescent="0.25">
      <c r="A849" s="3">
        <v>17482</v>
      </c>
      <c r="B849" s="3" t="s">
        <v>37</v>
      </c>
      <c r="C849" s="3" t="s">
        <v>38</v>
      </c>
      <c r="D849" s="4">
        <v>40000</v>
      </c>
      <c r="E849" s="3">
        <v>0</v>
      </c>
      <c r="F849" s="3" t="s">
        <v>29</v>
      </c>
      <c r="G849" s="3" t="s">
        <v>20</v>
      </c>
      <c r="H849" s="3" t="s">
        <v>15</v>
      </c>
      <c r="I849" s="3">
        <v>2</v>
      </c>
      <c r="J849" s="3" t="s">
        <v>23</v>
      </c>
      <c r="K849" s="3" t="s">
        <v>32</v>
      </c>
      <c r="L849" s="3">
        <v>29</v>
      </c>
      <c r="M849" s="3" t="str">
        <f t="shared" si="13"/>
        <v>Youth</v>
      </c>
      <c r="N849" s="3" t="s">
        <v>18</v>
      </c>
    </row>
    <row r="850" spans="1:14" x14ac:dyDescent="0.25">
      <c r="A850" s="3">
        <v>13176</v>
      </c>
      <c r="B850" s="3" t="s">
        <v>37</v>
      </c>
      <c r="C850" s="3" t="s">
        <v>39</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38</v>
      </c>
      <c r="D851" s="4">
        <v>40000</v>
      </c>
      <c r="E851" s="3">
        <v>5</v>
      </c>
      <c r="F851" s="3" t="s">
        <v>27</v>
      </c>
      <c r="G851" s="3" t="s">
        <v>21</v>
      </c>
      <c r="H851" s="3" t="s">
        <v>18</v>
      </c>
      <c r="I851" s="3">
        <v>2</v>
      </c>
      <c r="J851" s="3" t="s">
        <v>22</v>
      </c>
      <c r="K851" s="3" t="s">
        <v>32</v>
      </c>
      <c r="L851" s="3">
        <v>60</v>
      </c>
      <c r="M851" s="3" t="str">
        <f t="shared" si="13"/>
        <v>Old Age</v>
      </c>
      <c r="N851" s="3" t="s">
        <v>18</v>
      </c>
    </row>
    <row r="852" spans="1:14" x14ac:dyDescent="0.25">
      <c r="A852" s="3">
        <v>12205</v>
      </c>
      <c r="B852" s="3" t="s">
        <v>37</v>
      </c>
      <c r="C852" s="3" t="s">
        <v>38</v>
      </c>
      <c r="D852" s="4">
        <v>130000</v>
      </c>
      <c r="E852" s="3">
        <v>2</v>
      </c>
      <c r="F852" s="3" t="s">
        <v>13</v>
      </c>
      <c r="G852" s="3" t="s">
        <v>28</v>
      </c>
      <c r="H852" s="3" t="s">
        <v>18</v>
      </c>
      <c r="I852" s="3">
        <v>4</v>
      </c>
      <c r="J852" s="3" t="s">
        <v>16</v>
      </c>
      <c r="K852" s="3" t="s">
        <v>32</v>
      </c>
      <c r="L852" s="3">
        <v>67</v>
      </c>
      <c r="M852" s="3" t="str">
        <f t="shared" si="13"/>
        <v>Old Age</v>
      </c>
      <c r="N852" s="3" t="s">
        <v>18</v>
      </c>
    </row>
    <row r="853" spans="1:14" x14ac:dyDescent="0.25">
      <c r="A853" s="3">
        <v>16751</v>
      </c>
      <c r="B853" s="3" t="s">
        <v>36</v>
      </c>
      <c r="C853" s="3" t="s">
        <v>39</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39</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39</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38</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38</v>
      </c>
      <c r="D857" s="4">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39</v>
      </c>
      <c r="D858" s="4">
        <v>40000</v>
      </c>
      <c r="E858" s="3">
        <v>0</v>
      </c>
      <c r="F858" s="3" t="s">
        <v>19</v>
      </c>
      <c r="G858" s="3" t="s">
        <v>14</v>
      </c>
      <c r="H858" s="3" t="s">
        <v>15</v>
      </c>
      <c r="I858" s="3">
        <v>1</v>
      </c>
      <c r="J858" s="3" t="s">
        <v>23</v>
      </c>
      <c r="K858" s="3" t="s">
        <v>32</v>
      </c>
      <c r="L858" s="3">
        <v>27</v>
      </c>
      <c r="M858" s="3" t="str">
        <f t="shared" si="13"/>
        <v>Youth</v>
      </c>
      <c r="N858" s="3" t="s">
        <v>18</v>
      </c>
    </row>
    <row r="859" spans="1:14" x14ac:dyDescent="0.25">
      <c r="A859" s="3">
        <v>11745</v>
      </c>
      <c r="B859" s="3" t="s">
        <v>36</v>
      </c>
      <c r="C859" s="3" t="s">
        <v>38</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39</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39</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39</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38</v>
      </c>
      <c r="D863" s="4">
        <v>20000</v>
      </c>
      <c r="E863" s="3">
        <v>2</v>
      </c>
      <c r="F863" s="3" t="s">
        <v>27</v>
      </c>
      <c r="G863" s="3" t="s">
        <v>25</v>
      </c>
      <c r="H863" s="3" t="s">
        <v>18</v>
      </c>
      <c r="I863" s="3">
        <v>2</v>
      </c>
      <c r="J863" s="3" t="s">
        <v>26</v>
      </c>
      <c r="K863" s="3" t="s">
        <v>32</v>
      </c>
      <c r="L863" s="3">
        <v>53</v>
      </c>
      <c r="M863" s="3" t="str">
        <f t="shared" si="13"/>
        <v>Old Age</v>
      </c>
      <c r="N863" s="3" t="s">
        <v>15</v>
      </c>
    </row>
    <row r="864" spans="1:14" x14ac:dyDescent="0.25">
      <c r="A864" s="3">
        <v>22330</v>
      </c>
      <c r="B864" s="3" t="s">
        <v>36</v>
      </c>
      <c r="C864" s="3" t="s">
        <v>39</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39</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39</v>
      </c>
      <c r="D866" s="4">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38</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39</v>
      </c>
      <c r="D868" s="4">
        <v>60000</v>
      </c>
      <c r="E868" s="3">
        <v>2</v>
      </c>
      <c r="F868" s="3" t="s">
        <v>27</v>
      </c>
      <c r="G868" s="3" t="s">
        <v>21</v>
      </c>
      <c r="H868" s="3" t="s">
        <v>15</v>
      </c>
      <c r="I868" s="3">
        <v>2</v>
      </c>
      <c r="J868" s="3" t="s">
        <v>46</v>
      </c>
      <c r="K868" s="3" t="s">
        <v>32</v>
      </c>
      <c r="L868" s="3">
        <v>55</v>
      </c>
      <c r="M868" s="3" t="str">
        <f t="shared" si="13"/>
        <v>Old Age</v>
      </c>
      <c r="N868" s="3" t="s">
        <v>18</v>
      </c>
    </row>
    <row r="869" spans="1:14" x14ac:dyDescent="0.25">
      <c r="A869" s="3">
        <v>26693</v>
      </c>
      <c r="B869" s="3" t="s">
        <v>36</v>
      </c>
      <c r="C869" s="3" t="s">
        <v>39</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39</v>
      </c>
      <c r="D870" s="4">
        <v>30000</v>
      </c>
      <c r="E870" s="3">
        <v>5</v>
      </c>
      <c r="F870" s="3" t="s">
        <v>29</v>
      </c>
      <c r="G870" s="3" t="s">
        <v>14</v>
      </c>
      <c r="H870" s="3" t="s">
        <v>15</v>
      </c>
      <c r="I870" s="3">
        <v>3</v>
      </c>
      <c r="J870" s="3" t="s">
        <v>46</v>
      </c>
      <c r="K870" s="3" t="s">
        <v>32</v>
      </c>
      <c r="L870" s="3">
        <v>60</v>
      </c>
      <c r="M870" s="3" t="str">
        <f t="shared" si="13"/>
        <v>Old Age</v>
      </c>
      <c r="N870" s="3" t="s">
        <v>15</v>
      </c>
    </row>
    <row r="871" spans="1:14" x14ac:dyDescent="0.25">
      <c r="A871" s="3">
        <v>26065</v>
      </c>
      <c r="B871" s="3" t="s">
        <v>37</v>
      </c>
      <c r="C871" s="3" t="s">
        <v>38</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39</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39</v>
      </c>
      <c r="D873" s="4">
        <v>60000</v>
      </c>
      <c r="E873" s="3">
        <v>2</v>
      </c>
      <c r="F873" s="3" t="s">
        <v>27</v>
      </c>
      <c r="G873" s="3" t="s">
        <v>21</v>
      </c>
      <c r="H873" s="3" t="s">
        <v>15</v>
      </c>
      <c r="I873" s="3">
        <v>2</v>
      </c>
      <c r="J873" s="3" t="s">
        <v>46</v>
      </c>
      <c r="K873" s="3" t="s">
        <v>32</v>
      </c>
      <c r="L873" s="3">
        <v>55</v>
      </c>
      <c r="M873" s="3" t="str">
        <f t="shared" si="13"/>
        <v>Old Age</v>
      </c>
      <c r="N873" s="3" t="s">
        <v>18</v>
      </c>
    </row>
    <row r="874" spans="1:14" x14ac:dyDescent="0.25">
      <c r="A874" s="3">
        <v>22118</v>
      </c>
      <c r="B874" s="3" t="s">
        <v>37</v>
      </c>
      <c r="C874" s="3" t="s">
        <v>38</v>
      </c>
      <c r="D874" s="4">
        <v>70000</v>
      </c>
      <c r="E874" s="3">
        <v>3</v>
      </c>
      <c r="F874" s="3" t="s">
        <v>31</v>
      </c>
      <c r="G874" s="3" t="s">
        <v>28</v>
      </c>
      <c r="H874" s="3" t="s">
        <v>15</v>
      </c>
      <c r="I874" s="3">
        <v>2</v>
      </c>
      <c r="J874" s="3" t="s">
        <v>23</v>
      </c>
      <c r="K874" s="3" t="s">
        <v>32</v>
      </c>
      <c r="L874" s="3">
        <v>53</v>
      </c>
      <c r="M874" s="3" t="str">
        <f t="shared" si="13"/>
        <v>Old Age</v>
      </c>
      <c r="N874" s="3" t="s">
        <v>15</v>
      </c>
    </row>
    <row r="875" spans="1:14" x14ac:dyDescent="0.25">
      <c r="A875" s="3">
        <v>23197</v>
      </c>
      <c r="B875" s="3" t="s">
        <v>36</v>
      </c>
      <c r="C875" s="3" t="s">
        <v>39</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38</v>
      </c>
      <c r="D876" s="4">
        <v>30000</v>
      </c>
      <c r="E876" s="3">
        <v>1</v>
      </c>
      <c r="F876" s="3" t="s">
        <v>13</v>
      </c>
      <c r="G876" s="3" t="s">
        <v>14</v>
      </c>
      <c r="H876" s="3" t="s">
        <v>15</v>
      </c>
      <c r="I876" s="3">
        <v>1</v>
      </c>
      <c r="J876" s="3" t="s">
        <v>23</v>
      </c>
      <c r="K876" s="3" t="s">
        <v>32</v>
      </c>
      <c r="L876" s="3">
        <v>53</v>
      </c>
      <c r="M876" s="3" t="str">
        <f t="shared" si="13"/>
        <v>Old Age</v>
      </c>
      <c r="N876" s="3" t="s">
        <v>15</v>
      </c>
    </row>
    <row r="877" spans="1:14" x14ac:dyDescent="0.25">
      <c r="A877" s="3">
        <v>27279</v>
      </c>
      <c r="B877" s="3" t="s">
        <v>37</v>
      </c>
      <c r="C877" s="3" t="s">
        <v>38</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39</v>
      </c>
      <c r="D878" s="4">
        <v>30000</v>
      </c>
      <c r="E878" s="3">
        <v>0</v>
      </c>
      <c r="F878" s="3" t="s">
        <v>29</v>
      </c>
      <c r="G878" s="3" t="s">
        <v>20</v>
      </c>
      <c r="H878" s="3" t="s">
        <v>18</v>
      </c>
      <c r="I878" s="3">
        <v>2</v>
      </c>
      <c r="J878" s="3" t="s">
        <v>16</v>
      </c>
      <c r="K878" s="3" t="s">
        <v>32</v>
      </c>
      <c r="L878" s="3">
        <v>26</v>
      </c>
      <c r="M878" s="3" t="str">
        <f t="shared" si="13"/>
        <v>Youth</v>
      </c>
      <c r="N878" s="3" t="s">
        <v>18</v>
      </c>
    </row>
    <row r="879" spans="1:14" x14ac:dyDescent="0.25">
      <c r="A879" s="3">
        <v>15879</v>
      </c>
      <c r="B879" s="3" t="s">
        <v>36</v>
      </c>
      <c r="C879" s="3" t="s">
        <v>39</v>
      </c>
      <c r="D879" s="4">
        <v>70000</v>
      </c>
      <c r="E879" s="3">
        <v>5</v>
      </c>
      <c r="F879" s="3" t="s">
        <v>13</v>
      </c>
      <c r="G879" s="3" t="s">
        <v>28</v>
      </c>
      <c r="H879" s="3" t="s">
        <v>15</v>
      </c>
      <c r="I879" s="3">
        <v>2</v>
      </c>
      <c r="J879" s="3" t="s">
        <v>22</v>
      </c>
      <c r="K879" s="3" t="s">
        <v>32</v>
      </c>
      <c r="L879" s="3">
        <v>61</v>
      </c>
      <c r="M879" s="3" t="str">
        <f t="shared" si="13"/>
        <v>Old Age</v>
      </c>
      <c r="N879" s="3" t="s">
        <v>18</v>
      </c>
    </row>
    <row r="880" spans="1:14" x14ac:dyDescent="0.25">
      <c r="A880" s="3">
        <v>28278</v>
      </c>
      <c r="B880" s="3" t="s">
        <v>36</v>
      </c>
      <c r="C880" s="3" t="s">
        <v>39</v>
      </c>
      <c r="D880" s="4">
        <v>50000</v>
      </c>
      <c r="E880" s="3">
        <v>2</v>
      </c>
      <c r="F880" s="3" t="s">
        <v>31</v>
      </c>
      <c r="G880" s="3" t="s">
        <v>28</v>
      </c>
      <c r="H880" s="3" t="s">
        <v>15</v>
      </c>
      <c r="I880" s="3">
        <v>2</v>
      </c>
      <c r="J880" s="3" t="s">
        <v>23</v>
      </c>
      <c r="K880" s="3" t="s">
        <v>32</v>
      </c>
      <c r="L880" s="3">
        <v>71</v>
      </c>
      <c r="M880" s="3" t="str">
        <f t="shared" si="13"/>
        <v>Old Age</v>
      </c>
      <c r="N880" s="3" t="s">
        <v>18</v>
      </c>
    </row>
    <row r="881" spans="1:14" x14ac:dyDescent="0.25">
      <c r="A881" s="3">
        <v>24416</v>
      </c>
      <c r="B881" s="3" t="s">
        <v>36</v>
      </c>
      <c r="C881" s="3" t="s">
        <v>39</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39</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38</v>
      </c>
      <c r="D883" s="4">
        <v>80000</v>
      </c>
      <c r="E883" s="3">
        <v>4</v>
      </c>
      <c r="F883" s="3" t="s">
        <v>31</v>
      </c>
      <c r="G883" s="3" t="s">
        <v>28</v>
      </c>
      <c r="H883" s="3" t="s">
        <v>15</v>
      </c>
      <c r="I883" s="3">
        <v>2</v>
      </c>
      <c r="J883" s="3" t="s">
        <v>16</v>
      </c>
      <c r="K883" s="3" t="s">
        <v>32</v>
      </c>
      <c r="L883" s="3">
        <v>72</v>
      </c>
      <c r="M883" s="3" t="str">
        <f t="shared" si="13"/>
        <v>Old Age</v>
      </c>
      <c r="N883" s="3" t="s">
        <v>15</v>
      </c>
    </row>
    <row r="884" spans="1:14" x14ac:dyDescent="0.25">
      <c r="A884" s="3">
        <v>14872</v>
      </c>
      <c r="B884" s="3" t="s">
        <v>36</v>
      </c>
      <c r="C884" s="3" t="s">
        <v>39</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38</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39</v>
      </c>
      <c r="D886" s="4">
        <v>80000</v>
      </c>
      <c r="E886" s="3">
        <v>4</v>
      </c>
      <c r="F886" s="3" t="s">
        <v>31</v>
      </c>
      <c r="G886" s="3" t="s">
        <v>28</v>
      </c>
      <c r="H886" s="3" t="s">
        <v>15</v>
      </c>
      <c r="I886" s="3">
        <v>2</v>
      </c>
      <c r="J886" s="3" t="s">
        <v>23</v>
      </c>
      <c r="K886" s="3" t="s">
        <v>32</v>
      </c>
      <c r="L886" s="3">
        <v>68</v>
      </c>
      <c r="M886" s="3" t="str">
        <f t="shared" si="13"/>
        <v>Old Age</v>
      </c>
      <c r="N886" s="3" t="s">
        <v>18</v>
      </c>
    </row>
    <row r="887" spans="1:14" x14ac:dyDescent="0.25">
      <c r="A887" s="3">
        <v>23801</v>
      </c>
      <c r="B887" s="3" t="s">
        <v>36</v>
      </c>
      <c r="C887" s="3" t="s">
        <v>38</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39</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39</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38</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38</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38</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39</v>
      </c>
      <c r="D893" s="4">
        <v>100000</v>
      </c>
      <c r="E893" s="3">
        <v>1</v>
      </c>
      <c r="F893" s="3" t="s">
        <v>31</v>
      </c>
      <c r="G893" s="3" t="s">
        <v>28</v>
      </c>
      <c r="H893" s="3" t="s">
        <v>15</v>
      </c>
      <c r="I893" s="3">
        <v>3</v>
      </c>
      <c r="J893" s="3" t="s">
        <v>22</v>
      </c>
      <c r="K893" s="3" t="s">
        <v>32</v>
      </c>
      <c r="L893" s="3">
        <v>73</v>
      </c>
      <c r="M893" s="3" t="str">
        <f t="shared" si="13"/>
        <v>Old Age</v>
      </c>
      <c r="N893" s="3" t="s">
        <v>15</v>
      </c>
    </row>
    <row r="894" spans="1:14" x14ac:dyDescent="0.25">
      <c r="A894" s="3">
        <v>17000</v>
      </c>
      <c r="B894" s="3" t="s">
        <v>37</v>
      </c>
      <c r="C894" s="3" t="s">
        <v>38</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39</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39</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38</v>
      </c>
      <c r="D897" s="4">
        <v>50000</v>
      </c>
      <c r="E897" s="3">
        <v>4</v>
      </c>
      <c r="F897" s="3" t="s">
        <v>13</v>
      </c>
      <c r="G897" s="3" t="s">
        <v>28</v>
      </c>
      <c r="H897" s="3" t="s">
        <v>15</v>
      </c>
      <c r="I897" s="3">
        <v>2</v>
      </c>
      <c r="J897" s="3" t="s">
        <v>26</v>
      </c>
      <c r="K897" s="3" t="s">
        <v>32</v>
      </c>
      <c r="L897" s="3">
        <v>64</v>
      </c>
      <c r="M897" s="3" t="str">
        <f t="shared" si="13"/>
        <v>Old Age</v>
      </c>
      <c r="N897" s="3" t="s">
        <v>15</v>
      </c>
    </row>
    <row r="898" spans="1:14" x14ac:dyDescent="0.25">
      <c r="A898" s="3">
        <v>21583</v>
      </c>
      <c r="B898" s="3" t="s">
        <v>36</v>
      </c>
      <c r="C898" s="3" t="s">
        <v>38</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39</v>
      </c>
      <c r="D899" s="4">
        <v>30000</v>
      </c>
      <c r="E899" s="3">
        <v>0</v>
      </c>
      <c r="F899" s="3" t="s">
        <v>29</v>
      </c>
      <c r="G899" s="3" t="s">
        <v>20</v>
      </c>
      <c r="H899" s="3" t="s">
        <v>18</v>
      </c>
      <c r="I899" s="3">
        <v>2</v>
      </c>
      <c r="J899" s="3" t="s">
        <v>16</v>
      </c>
      <c r="K899" s="3" t="s">
        <v>32</v>
      </c>
      <c r="L899" s="3">
        <v>28</v>
      </c>
      <c r="M899" s="3" t="str">
        <f t="shared" ref="M899:M962" si="14">IF(L899&gt;51,"Old Age",IF(L899&gt;=31,"Middle Age",IF(L899&lt;31,"Youth","Invalid")))</f>
        <v>Youth</v>
      </c>
      <c r="N899" s="3" t="s">
        <v>18</v>
      </c>
    </row>
    <row r="900" spans="1:14" x14ac:dyDescent="0.25">
      <c r="A900" s="3">
        <v>18066</v>
      </c>
      <c r="B900" s="3" t="s">
        <v>37</v>
      </c>
      <c r="C900" s="3" t="s">
        <v>39</v>
      </c>
      <c r="D900" s="4">
        <v>70000</v>
      </c>
      <c r="E900" s="3">
        <v>5</v>
      </c>
      <c r="F900" s="3" t="s">
        <v>13</v>
      </c>
      <c r="G900" s="3" t="s">
        <v>28</v>
      </c>
      <c r="H900" s="3" t="s">
        <v>15</v>
      </c>
      <c r="I900" s="3">
        <v>3</v>
      </c>
      <c r="J900" s="3" t="s">
        <v>46</v>
      </c>
      <c r="K900" s="3" t="s">
        <v>32</v>
      </c>
      <c r="L900" s="3">
        <v>60</v>
      </c>
      <c r="M900" s="3" t="str">
        <f t="shared" si="14"/>
        <v>Old Age</v>
      </c>
      <c r="N900" s="3" t="s">
        <v>15</v>
      </c>
    </row>
    <row r="901" spans="1:14" x14ac:dyDescent="0.25">
      <c r="A901" s="3">
        <v>28192</v>
      </c>
      <c r="B901" s="3" t="s">
        <v>36</v>
      </c>
      <c r="C901" s="3" t="s">
        <v>38</v>
      </c>
      <c r="D901" s="4">
        <v>70000</v>
      </c>
      <c r="E901" s="3">
        <v>5</v>
      </c>
      <c r="F901" s="3" t="s">
        <v>31</v>
      </c>
      <c r="G901" s="3" t="s">
        <v>21</v>
      </c>
      <c r="H901" s="3" t="s">
        <v>15</v>
      </c>
      <c r="I901" s="3">
        <v>3</v>
      </c>
      <c r="J901" s="3" t="s">
        <v>46</v>
      </c>
      <c r="K901" s="3" t="s">
        <v>32</v>
      </c>
      <c r="L901" s="3">
        <v>46</v>
      </c>
      <c r="M901" s="3" t="str">
        <f t="shared" si="14"/>
        <v>Middle Age</v>
      </c>
      <c r="N901" s="3" t="s">
        <v>18</v>
      </c>
    </row>
    <row r="902" spans="1:14" x14ac:dyDescent="0.25">
      <c r="A902" s="3">
        <v>16122</v>
      </c>
      <c r="B902" s="3" t="s">
        <v>36</v>
      </c>
      <c r="C902" s="3" t="s">
        <v>39</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38</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39</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39</v>
      </c>
      <c r="D905" s="4">
        <v>90000</v>
      </c>
      <c r="E905" s="3">
        <v>4</v>
      </c>
      <c r="F905" s="3" t="s">
        <v>31</v>
      </c>
      <c r="G905" s="3" t="s">
        <v>28</v>
      </c>
      <c r="H905" s="3" t="s">
        <v>15</v>
      </c>
      <c r="I905" s="3">
        <v>1</v>
      </c>
      <c r="J905" s="3" t="s">
        <v>23</v>
      </c>
      <c r="K905" s="3" t="s">
        <v>32</v>
      </c>
      <c r="L905" s="3">
        <v>73</v>
      </c>
      <c r="M905" s="3" t="str">
        <f t="shared" si="14"/>
        <v>Old Age</v>
      </c>
      <c r="N905" s="3" t="s">
        <v>18</v>
      </c>
    </row>
    <row r="906" spans="1:14" x14ac:dyDescent="0.25">
      <c r="A906" s="3">
        <v>26305</v>
      </c>
      <c r="B906" s="3" t="s">
        <v>37</v>
      </c>
      <c r="C906" s="3" t="s">
        <v>38</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39</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39</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39</v>
      </c>
      <c r="D909" s="4">
        <v>50000</v>
      </c>
      <c r="E909" s="3">
        <v>4</v>
      </c>
      <c r="F909" s="3" t="s">
        <v>13</v>
      </c>
      <c r="G909" s="3" t="s">
        <v>28</v>
      </c>
      <c r="H909" s="3" t="s">
        <v>15</v>
      </c>
      <c r="I909" s="3">
        <v>2</v>
      </c>
      <c r="J909" s="3" t="s">
        <v>46</v>
      </c>
      <c r="K909" s="3" t="s">
        <v>32</v>
      </c>
      <c r="L909" s="3">
        <v>63</v>
      </c>
      <c r="M909" s="3" t="str">
        <f t="shared" si="14"/>
        <v>Old Age</v>
      </c>
      <c r="N909" s="3" t="s">
        <v>18</v>
      </c>
    </row>
    <row r="910" spans="1:14" x14ac:dyDescent="0.25">
      <c r="A910" s="3">
        <v>23195</v>
      </c>
      <c r="B910" s="3" t="s">
        <v>37</v>
      </c>
      <c r="C910" s="3" t="s">
        <v>39</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39</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39</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38</v>
      </c>
      <c r="D913" s="4">
        <v>80000</v>
      </c>
      <c r="E913" s="3">
        <v>5</v>
      </c>
      <c r="F913" s="3" t="s">
        <v>13</v>
      </c>
      <c r="G913" s="3" t="s">
        <v>28</v>
      </c>
      <c r="H913" s="3" t="s">
        <v>15</v>
      </c>
      <c r="I913" s="3">
        <v>2</v>
      </c>
      <c r="J913" s="3" t="s">
        <v>23</v>
      </c>
      <c r="K913" s="3" t="s">
        <v>32</v>
      </c>
      <c r="L913" s="3">
        <v>64</v>
      </c>
      <c r="M913" s="3" t="str">
        <f t="shared" si="14"/>
        <v>Old Age</v>
      </c>
      <c r="N913" s="3" t="s">
        <v>18</v>
      </c>
    </row>
    <row r="914" spans="1:14" x14ac:dyDescent="0.25">
      <c r="A914" s="3">
        <v>27190</v>
      </c>
      <c r="B914" s="3" t="s">
        <v>36</v>
      </c>
      <c r="C914" s="3" t="s">
        <v>38</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39</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39</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39</v>
      </c>
      <c r="D917" s="4">
        <v>60000</v>
      </c>
      <c r="E917" s="3">
        <v>3</v>
      </c>
      <c r="F917" s="3" t="s">
        <v>31</v>
      </c>
      <c r="G917" s="3" t="s">
        <v>28</v>
      </c>
      <c r="H917" s="3" t="s">
        <v>15</v>
      </c>
      <c r="I917" s="3">
        <v>2</v>
      </c>
      <c r="J917" s="3" t="s">
        <v>46</v>
      </c>
      <c r="K917" s="3" t="s">
        <v>32</v>
      </c>
      <c r="L917" s="3">
        <v>64</v>
      </c>
      <c r="M917" s="3" t="str">
        <f t="shared" si="14"/>
        <v>Old Age</v>
      </c>
      <c r="N917" s="3" t="s">
        <v>18</v>
      </c>
    </row>
    <row r="918" spans="1:14" x14ac:dyDescent="0.25">
      <c r="A918" s="3">
        <v>27273</v>
      </c>
      <c r="B918" s="3" t="s">
        <v>37</v>
      </c>
      <c r="C918" s="3" t="s">
        <v>39</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39</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38</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38</v>
      </c>
      <c r="D921" s="4">
        <v>40000</v>
      </c>
      <c r="E921" s="3">
        <v>4</v>
      </c>
      <c r="F921" s="3" t="s">
        <v>27</v>
      </c>
      <c r="G921" s="3" t="s">
        <v>21</v>
      </c>
      <c r="H921" s="3" t="s">
        <v>15</v>
      </c>
      <c r="I921" s="3">
        <v>2</v>
      </c>
      <c r="J921" s="3" t="s">
        <v>46</v>
      </c>
      <c r="K921" s="3" t="s">
        <v>32</v>
      </c>
      <c r="L921" s="3">
        <v>61</v>
      </c>
      <c r="M921" s="3" t="str">
        <f t="shared" si="14"/>
        <v>Old Age</v>
      </c>
      <c r="N921" s="3" t="s">
        <v>18</v>
      </c>
    </row>
    <row r="922" spans="1:14" x14ac:dyDescent="0.25">
      <c r="A922" s="3">
        <v>20754</v>
      </c>
      <c r="B922" s="3" t="s">
        <v>36</v>
      </c>
      <c r="C922" s="3" t="s">
        <v>39</v>
      </c>
      <c r="D922" s="4">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38</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38</v>
      </c>
      <c r="D924" s="4">
        <v>40000</v>
      </c>
      <c r="E924" s="3">
        <v>3</v>
      </c>
      <c r="F924" s="3" t="s">
        <v>19</v>
      </c>
      <c r="G924" s="3" t="s">
        <v>21</v>
      </c>
      <c r="H924" s="3" t="s">
        <v>18</v>
      </c>
      <c r="I924" s="3">
        <v>2</v>
      </c>
      <c r="J924" s="3" t="s">
        <v>26</v>
      </c>
      <c r="K924" s="3" t="s">
        <v>32</v>
      </c>
      <c r="L924" s="3">
        <v>54</v>
      </c>
      <c r="M924" s="3" t="str">
        <f t="shared" si="14"/>
        <v>Old Age</v>
      </c>
      <c r="N924" s="3" t="s">
        <v>15</v>
      </c>
    </row>
    <row r="925" spans="1:14" x14ac:dyDescent="0.25">
      <c r="A925" s="3">
        <v>26728</v>
      </c>
      <c r="B925" s="3" t="s">
        <v>37</v>
      </c>
      <c r="C925" s="3" t="s">
        <v>39</v>
      </c>
      <c r="D925" s="4">
        <v>70000</v>
      </c>
      <c r="E925" s="3">
        <v>3</v>
      </c>
      <c r="F925" s="3" t="s">
        <v>31</v>
      </c>
      <c r="G925" s="3" t="s">
        <v>28</v>
      </c>
      <c r="H925" s="3" t="s">
        <v>18</v>
      </c>
      <c r="I925" s="3">
        <v>2</v>
      </c>
      <c r="J925" s="3" t="s">
        <v>26</v>
      </c>
      <c r="K925" s="3" t="s">
        <v>32</v>
      </c>
      <c r="L925" s="3">
        <v>53</v>
      </c>
      <c r="M925" s="3" t="str">
        <f t="shared" si="14"/>
        <v>Old Age</v>
      </c>
      <c r="N925" s="3" t="s">
        <v>15</v>
      </c>
    </row>
    <row r="926" spans="1:14" x14ac:dyDescent="0.25">
      <c r="A926" s="3">
        <v>11090</v>
      </c>
      <c r="B926" s="3" t="s">
        <v>37</v>
      </c>
      <c r="C926" s="3" t="s">
        <v>39</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38</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38</v>
      </c>
      <c r="D928" s="4">
        <v>40000</v>
      </c>
      <c r="E928" s="3">
        <v>2</v>
      </c>
      <c r="F928" s="3" t="s">
        <v>27</v>
      </c>
      <c r="G928" s="3" t="s">
        <v>21</v>
      </c>
      <c r="H928" s="3" t="s">
        <v>15</v>
      </c>
      <c r="I928" s="3">
        <v>2</v>
      </c>
      <c r="J928" s="3" t="s">
        <v>46</v>
      </c>
      <c r="K928" s="3" t="s">
        <v>32</v>
      </c>
      <c r="L928" s="3">
        <v>57</v>
      </c>
      <c r="M928" s="3" t="str">
        <f t="shared" si="14"/>
        <v>Old Age</v>
      </c>
      <c r="N928" s="3" t="s">
        <v>18</v>
      </c>
    </row>
    <row r="929" spans="1:14" x14ac:dyDescent="0.25">
      <c r="A929" s="3">
        <v>11823</v>
      </c>
      <c r="B929" s="3" t="s">
        <v>36</v>
      </c>
      <c r="C929" s="3" t="s">
        <v>38</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39</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39</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39</v>
      </c>
      <c r="D932" s="4">
        <v>70000</v>
      </c>
      <c r="E932" s="3">
        <v>5</v>
      </c>
      <c r="F932" s="3" t="s">
        <v>31</v>
      </c>
      <c r="G932" s="3" t="s">
        <v>21</v>
      </c>
      <c r="H932" s="3" t="s">
        <v>18</v>
      </c>
      <c r="I932" s="3">
        <v>3</v>
      </c>
      <c r="J932" s="3" t="s">
        <v>46</v>
      </c>
      <c r="K932" s="3" t="s">
        <v>32</v>
      </c>
      <c r="L932" s="3">
        <v>47</v>
      </c>
      <c r="M932" s="3" t="str">
        <f t="shared" si="14"/>
        <v>Middle Age</v>
      </c>
      <c r="N932" s="3" t="s">
        <v>18</v>
      </c>
    </row>
    <row r="933" spans="1:14" x14ac:dyDescent="0.25">
      <c r="A933" s="3">
        <v>14914</v>
      </c>
      <c r="B933" s="3" t="s">
        <v>36</v>
      </c>
      <c r="C933" s="3" t="s">
        <v>38</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38</v>
      </c>
      <c r="D934" s="4">
        <v>40000</v>
      </c>
      <c r="E934" s="3">
        <v>0</v>
      </c>
      <c r="F934" s="3" t="s">
        <v>27</v>
      </c>
      <c r="G934" s="3" t="s">
        <v>14</v>
      </c>
      <c r="H934" s="3" t="s">
        <v>18</v>
      </c>
      <c r="I934" s="3">
        <v>2</v>
      </c>
      <c r="J934" s="3" t="s">
        <v>16</v>
      </c>
      <c r="K934" s="3" t="s">
        <v>32</v>
      </c>
      <c r="L934" s="3">
        <v>27</v>
      </c>
      <c r="M934" s="3" t="str">
        <f t="shared" si="14"/>
        <v>Youth</v>
      </c>
      <c r="N934" s="3" t="s">
        <v>15</v>
      </c>
    </row>
    <row r="935" spans="1:14" x14ac:dyDescent="0.25">
      <c r="A935" s="3">
        <v>11941</v>
      </c>
      <c r="B935" s="3" t="s">
        <v>37</v>
      </c>
      <c r="C935" s="3" t="s">
        <v>39</v>
      </c>
      <c r="D935" s="4">
        <v>60000</v>
      </c>
      <c r="E935" s="3">
        <v>0</v>
      </c>
      <c r="F935" s="3" t="s">
        <v>19</v>
      </c>
      <c r="G935" s="3" t="s">
        <v>14</v>
      </c>
      <c r="H935" s="3" t="s">
        <v>15</v>
      </c>
      <c r="I935" s="3">
        <v>0</v>
      </c>
      <c r="J935" s="3" t="s">
        <v>23</v>
      </c>
      <c r="K935" s="3" t="s">
        <v>32</v>
      </c>
      <c r="L935" s="3">
        <v>29</v>
      </c>
      <c r="M935" s="3" t="str">
        <f t="shared" si="14"/>
        <v>Youth</v>
      </c>
      <c r="N935" s="3" t="s">
        <v>18</v>
      </c>
    </row>
    <row r="936" spans="1:14" x14ac:dyDescent="0.25">
      <c r="A936" s="3">
        <v>14389</v>
      </c>
      <c r="B936" s="3" t="s">
        <v>36</v>
      </c>
      <c r="C936" s="3" t="s">
        <v>39</v>
      </c>
      <c r="D936" s="4">
        <v>60000</v>
      </c>
      <c r="E936" s="3">
        <v>2</v>
      </c>
      <c r="F936" s="3" t="s">
        <v>13</v>
      </c>
      <c r="G936" s="3" t="s">
        <v>28</v>
      </c>
      <c r="H936" s="3" t="s">
        <v>15</v>
      </c>
      <c r="I936" s="3">
        <v>0</v>
      </c>
      <c r="J936" s="3" t="s">
        <v>22</v>
      </c>
      <c r="K936" s="3" t="s">
        <v>32</v>
      </c>
      <c r="L936" s="3">
        <v>59</v>
      </c>
      <c r="M936" s="3" t="str">
        <f t="shared" si="14"/>
        <v>Old Age</v>
      </c>
      <c r="N936" s="3" t="s">
        <v>18</v>
      </c>
    </row>
    <row r="937" spans="1:14" x14ac:dyDescent="0.25">
      <c r="A937" s="3">
        <v>18050</v>
      </c>
      <c r="B937" s="3" t="s">
        <v>36</v>
      </c>
      <c r="C937" s="3" t="s">
        <v>38</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38</v>
      </c>
      <c r="D938" s="4">
        <v>60000</v>
      </c>
      <c r="E938" s="3">
        <v>4</v>
      </c>
      <c r="F938" s="3" t="s">
        <v>13</v>
      </c>
      <c r="G938" s="3" t="s">
        <v>28</v>
      </c>
      <c r="H938" s="3" t="s">
        <v>15</v>
      </c>
      <c r="I938" s="3">
        <v>2</v>
      </c>
      <c r="J938" s="3" t="s">
        <v>22</v>
      </c>
      <c r="K938" s="3" t="s">
        <v>32</v>
      </c>
      <c r="L938" s="3">
        <v>60</v>
      </c>
      <c r="M938" s="3" t="str">
        <f t="shared" si="14"/>
        <v>Old Age</v>
      </c>
      <c r="N938" s="3" t="s">
        <v>18</v>
      </c>
    </row>
    <row r="939" spans="1:14" x14ac:dyDescent="0.25">
      <c r="A939" s="3">
        <v>11663</v>
      </c>
      <c r="B939" s="3" t="s">
        <v>36</v>
      </c>
      <c r="C939" s="3" t="s">
        <v>39</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38</v>
      </c>
      <c r="D940" s="4">
        <v>40000</v>
      </c>
      <c r="E940" s="3">
        <v>0</v>
      </c>
      <c r="F940" s="3" t="s">
        <v>27</v>
      </c>
      <c r="G940" s="3" t="s">
        <v>14</v>
      </c>
      <c r="H940" s="3" t="s">
        <v>15</v>
      </c>
      <c r="I940" s="3">
        <v>2</v>
      </c>
      <c r="J940" s="3" t="s">
        <v>23</v>
      </c>
      <c r="K940" s="3" t="s">
        <v>32</v>
      </c>
      <c r="L940" s="3">
        <v>27</v>
      </c>
      <c r="M940" s="3" t="str">
        <f t="shared" si="14"/>
        <v>Youth</v>
      </c>
      <c r="N940" s="3" t="s">
        <v>18</v>
      </c>
    </row>
    <row r="941" spans="1:14" x14ac:dyDescent="0.25">
      <c r="A941" s="3">
        <v>23455</v>
      </c>
      <c r="B941" s="3" t="s">
        <v>37</v>
      </c>
      <c r="C941" s="3" t="s">
        <v>39</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38</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38</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38</v>
      </c>
      <c r="D944" s="4">
        <v>40000</v>
      </c>
      <c r="E944" s="3">
        <v>3</v>
      </c>
      <c r="F944" s="3" t="s">
        <v>19</v>
      </c>
      <c r="G944" s="3" t="s">
        <v>21</v>
      </c>
      <c r="H944" s="3" t="s">
        <v>15</v>
      </c>
      <c r="I944" s="3">
        <v>2</v>
      </c>
      <c r="J944" s="3" t="s">
        <v>23</v>
      </c>
      <c r="K944" s="3" t="s">
        <v>32</v>
      </c>
      <c r="L944" s="3">
        <v>54</v>
      </c>
      <c r="M944" s="3" t="str">
        <f t="shared" si="14"/>
        <v>Old Age</v>
      </c>
      <c r="N944" s="3" t="s">
        <v>18</v>
      </c>
    </row>
    <row r="945" spans="1:14" x14ac:dyDescent="0.25">
      <c r="A945" s="3">
        <v>24322</v>
      </c>
      <c r="B945" s="3" t="s">
        <v>36</v>
      </c>
      <c r="C945" s="3" t="s">
        <v>38</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38</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39</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38</v>
      </c>
      <c r="D948" s="4">
        <v>90000</v>
      </c>
      <c r="E948" s="3">
        <v>5</v>
      </c>
      <c r="F948" s="3" t="s">
        <v>13</v>
      </c>
      <c r="G948" s="3" t="s">
        <v>28</v>
      </c>
      <c r="H948" s="3" t="s">
        <v>15</v>
      </c>
      <c r="I948" s="3">
        <v>2</v>
      </c>
      <c r="J948" s="3" t="s">
        <v>26</v>
      </c>
      <c r="K948" s="3" t="s">
        <v>32</v>
      </c>
      <c r="L948" s="3">
        <v>63</v>
      </c>
      <c r="M948" s="3" t="str">
        <f t="shared" si="14"/>
        <v>Old Age</v>
      </c>
      <c r="N948" s="3" t="s">
        <v>15</v>
      </c>
    </row>
    <row r="949" spans="1:14" x14ac:dyDescent="0.25">
      <c r="A949" s="3">
        <v>11303</v>
      </c>
      <c r="B949" s="3" t="s">
        <v>37</v>
      </c>
      <c r="C949" s="3" t="s">
        <v>38</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38</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39</v>
      </c>
      <c r="D951" s="4">
        <v>70000</v>
      </c>
      <c r="E951" s="3">
        <v>2</v>
      </c>
      <c r="F951" s="3" t="s">
        <v>29</v>
      </c>
      <c r="G951" s="3" t="s">
        <v>14</v>
      </c>
      <c r="H951" s="3" t="s">
        <v>15</v>
      </c>
      <c r="I951" s="3">
        <v>2</v>
      </c>
      <c r="J951" s="3" t="s">
        <v>46</v>
      </c>
      <c r="K951" s="3" t="s">
        <v>32</v>
      </c>
      <c r="L951" s="3">
        <v>53</v>
      </c>
      <c r="M951" s="3" t="str">
        <f t="shared" si="14"/>
        <v>Old Age</v>
      </c>
      <c r="N951" s="3" t="s">
        <v>18</v>
      </c>
    </row>
    <row r="952" spans="1:14" x14ac:dyDescent="0.25">
      <c r="A952" s="3">
        <v>11788</v>
      </c>
      <c r="B952" s="3" t="s">
        <v>37</v>
      </c>
      <c r="C952" s="3" t="s">
        <v>38</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39</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38</v>
      </c>
      <c r="D954" s="4">
        <v>70000</v>
      </c>
      <c r="E954" s="3">
        <v>4</v>
      </c>
      <c r="F954" s="3" t="s">
        <v>13</v>
      </c>
      <c r="G954" s="3" t="s">
        <v>28</v>
      </c>
      <c r="H954" s="3" t="s">
        <v>18</v>
      </c>
      <c r="I954" s="3">
        <v>1</v>
      </c>
      <c r="J954" s="3" t="s">
        <v>26</v>
      </c>
      <c r="K954" s="3" t="s">
        <v>32</v>
      </c>
      <c r="L954" s="3">
        <v>59</v>
      </c>
      <c r="M954" s="3" t="str">
        <f t="shared" si="14"/>
        <v>Old Age</v>
      </c>
      <c r="N954" s="3" t="s">
        <v>18</v>
      </c>
    </row>
    <row r="955" spans="1:14" x14ac:dyDescent="0.25">
      <c r="A955" s="3">
        <v>17654</v>
      </c>
      <c r="B955" s="3" t="s">
        <v>37</v>
      </c>
      <c r="C955" s="3" t="s">
        <v>38</v>
      </c>
      <c r="D955" s="4">
        <v>40000</v>
      </c>
      <c r="E955" s="3">
        <v>3</v>
      </c>
      <c r="F955" s="3" t="s">
        <v>19</v>
      </c>
      <c r="G955" s="3" t="s">
        <v>20</v>
      </c>
      <c r="H955" s="3" t="s">
        <v>15</v>
      </c>
      <c r="I955" s="3">
        <v>1</v>
      </c>
      <c r="J955" s="3" t="s">
        <v>26</v>
      </c>
      <c r="K955" s="3" t="s">
        <v>32</v>
      </c>
      <c r="L955" s="3">
        <v>30</v>
      </c>
      <c r="M955" s="3" t="str">
        <f t="shared" si="14"/>
        <v>Youth</v>
      </c>
      <c r="N955" s="3" t="s">
        <v>15</v>
      </c>
    </row>
    <row r="956" spans="1:14" x14ac:dyDescent="0.25">
      <c r="A956" s="3">
        <v>14662</v>
      </c>
      <c r="B956" s="3" t="s">
        <v>36</v>
      </c>
      <c r="C956" s="3" t="s">
        <v>39</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38</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38</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38</v>
      </c>
      <c r="D959" s="4">
        <v>60000</v>
      </c>
      <c r="E959" s="3">
        <v>0</v>
      </c>
      <c r="F959" s="3" t="s">
        <v>19</v>
      </c>
      <c r="G959" s="3" t="s">
        <v>21</v>
      </c>
      <c r="H959" s="3" t="s">
        <v>15</v>
      </c>
      <c r="I959" s="3">
        <v>2</v>
      </c>
      <c r="J959" s="3" t="s">
        <v>23</v>
      </c>
      <c r="K959" s="3" t="s">
        <v>32</v>
      </c>
      <c r="L959" s="3">
        <v>30</v>
      </c>
      <c r="M959" s="3" t="str">
        <f t="shared" si="14"/>
        <v>Youth</v>
      </c>
      <c r="N959" s="3" t="s">
        <v>18</v>
      </c>
    </row>
    <row r="960" spans="1:14" x14ac:dyDescent="0.25">
      <c r="A960" s="3">
        <v>21940</v>
      </c>
      <c r="B960" s="3" t="s">
        <v>36</v>
      </c>
      <c r="C960" s="3" t="s">
        <v>39</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39</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39</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38</v>
      </c>
      <c r="D963" s="4">
        <v>120000</v>
      </c>
      <c r="E963" s="3">
        <v>2</v>
      </c>
      <c r="F963" s="3" t="s">
        <v>13</v>
      </c>
      <c r="G963" s="3" t="s">
        <v>28</v>
      </c>
      <c r="H963" s="3" t="s">
        <v>15</v>
      </c>
      <c r="I963" s="3">
        <v>3</v>
      </c>
      <c r="J963" s="3" t="s">
        <v>23</v>
      </c>
      <c r="K963" s="3" t="s">
        <v>32</v>
      </c>
      <c r="L963" s="3">
        <v>62</v>
      </c>
      <c r="M963" s="3" t="str">
        <f t="shared" ref="M963:M1001" si="15">IF(L963&gt;51,"Old Age",IF(L963&gt;=31,"Middle Age",IF(L963&lt;31,"Youth","Invalid")))</f>
        <v>Old Age</v>
      </c>
      <c r="N963" s="3" t="s">
        <v>18</v>
      </c>
    </row>
    <row r="964" spans="1:14" x14ac:dyDescent="0.25">
      <c r="A964" s="3">
        <v>16813</v>
      </c>
      <c r="B964" s="3" t="s">
        <v>36</v>
      </c>
      <c r="C964" s="3" t="s">
        <v>39</v>
      </c>
      <c r="D964" s="4">
        <v>60000</v>
      </c>
      <c r="E964" s="3">
        <v>2</v>
      </c>
      <c r="F964" s="3" t="s">
        <v>19</v>
      </c>
      <c r="G964" s="3" t="s">
        <v>21</v>
      </c>
      <c r="H964" s="3" t="s">
        <v>15</v>
      </c>
      <c r="I964" s="3">
        <v>2</v>
      </c>
      <c r="J964" s="3" t="s">
        <v>46</v>
      </c>
      <c r="K964" s="3" t="s">
        <v>32</v>
      </c>
      <c r="L964" s="3">
        <v>55</v>
      </c>
      <c r="M964" s="3" t="str">
        <f t="shared" si="15"/>
        <v>Old Age</v>
      </c>
      <c r="N964" s="3" t="s">
        <v>18</v>
      </c>
    </row>
    <row r="965" spans="1:14" x14ac:dyDescent="0.25">
      <c r="A965" s="3">
        <v>16007</v>
      </c>
      <c r="B965" s="3" t="s">
        <v>36</v>
      </c>
      <c r="C965" s="3" t="s">
        <v>38</v>
      </c>
      <c r="D965" s="4">
        <v>90000</v>
      </c>
      <c r="E965" s="3">
        <v>5</v>
      </c>
      <c r="F965" s="3" t="s">
        <v>13</v>
      </c>
      <c r="G965" s="3" t="s">
        <v>28</v>
      </c>
      <c r="H965" s="3" t="s">
        <v>15</v>
      </c>
      <c r="I965" s="3">
        <v>2</v>
      </c>
      <c r="J965" s="3" t="s">
        <v>26</v>
      </c>
      <c r="K965" s="3" t="s">
        <v>32</v>
      </c>
      <c r="L965" s="3">
        <v>66</v>
      </c>
      <c r="M965" s="3" t="str">
        <f t="shared" si="15"/>
        <v>Old Age</v>
      </c>
      <c r="N965" s="3" t="s">
        <v>15</v>
      </c>
    </row>
    <row r="966" spans="1:14" x14ac:dyDescent="0.25">
      <c r="A966" s="3">
        <v>27434</v>
      </c>
      <c r="B966" s="3" t="s">
        <v>37</v>
      </c>
      <c r="C966" s="3" t="s">
        <v>39</v>
      </c>
      <c r="D966" s="4">
        <v>70000</v>
      </c>
      <c r="E966" s="3">
        <v>4</v>
      </c>
      <c r="F966" s="3" t="s">
        <v>19</v>
      </c>
      <c r="G966" s="3" t="s">
        <v>21</v>
      </c>
      <c r="H966" s="3" t="s">
        <v>15</v>
      </c>
      <c r="I966" s="3">
        <v>1</v>
      </c>
      <c r="J966" s="3" t="s">
        <v>46</v>
      </c>
      <c r="K966" s="3" t="s">
        <v>32</v>
      </c>
      <c r="L966" s="3">
        <v>56</v>
      </c>
      <c r="M966" s="3" t="str">
        <f t="shared" si="15"/>
        <v>Old Age</v>
      </c>
      <c r="N966" s="3" t="s">
        <v>18</v>
      </c>
    </row>
    <row r="967" spans="1:14" x14ac:dyDescent="0.25">
      <c r="A967" s="3">
        <v>27756</v>
      </c>
      <c r="B967" s="3" t="s">
        <v>37</v>
      </c>
      <c r="C967" s="3" t="s">
        <v>38</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38</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39</v>
      </c>
      <c r="D969" s="4">
        <v>80000</v>
      </c>
      <c r="E969" s="3">
        <v>3</v>
      </c>
      <c r="F969" s="3" t="s">
        <v>13</v>
      </c>
      <c r="G969" s="3" t="s">
        <v>28</v>
      </c>
      <c r="H969" s="3" t="s">
        <v>15</v>
      </c>
      <c r="I969" s="3">
        <v>1</v>
      </c>
      <c r="J969" s="3" t="s">
        <v>26</v>
      </c>
      <c r="K969" s="3" t="s">
        <v>32</v>
      </c>
      <c r="L969" s="3">
        <v>56</v>
      </c>
      <c r="M969" s="3" t="str">
        <f t="shared" si="15"/>
        <v>Old Age</v>
      </c>
      <c r="N969" s="3" t="s">
        <v>18</v>
      </c>
    </row>
    <row r="970" spans="1:14" x14ac:dyDescent="0.25">
      <c r="A970" s="3">
        <v>18329</v>
      </c>
      <c r="B970" s="3" t="s">
        <v>37</v>
      </c>
      <c r="C970" s="3" t="s">
        <v>39</v>
      </c>
      <c r="D970" s="4">
        <v>30000</v>
      </c>
      <c r="E970" s="3">
        <v>0</v>
      </c>
      <c r="F970" s="3" t="s">
        <v>29</v>
      </c>
      <c r="G970" s="3" t="s">
        <v>20</v>
      </c>
      <c r="H970" s="3" t="s">
        <v>18</v>
      </c>
      <c r="I970" s="3">
        <v>2</v>
      </c>
      <c r="J970" s="3" t="s">
        <v>23</v>
      </c>
      <c r="K970" s="3" t="s">
        <v>32</v>
      </c>
      <c r="L970" s="3">
        <v>27</v>
      </c>
      <c r="M970" s="3" t="str">
        <f t="shared" si="15"/>
        <v>Youth</v>
      </c>
      <c r="N970" s="3" t="s">
        <v>18</v>
      </c>
    </row>
    <row r="971" spans="1:14" x14ac:dyDescent="0.25">
      <c r="A971" s="3">
        <v>29037</v>
      </c>
      <c r="B971" s="3" t="s">
        <v>36</v>
      </c>
      <c r="C971" s="3" t="s">
        <v>39</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38</v>
      </c>
      <c r="D972" s="4">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38</v>
      </c>
      <c r="D973" s="4">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38</v>
      </c>
      <c r="D974" s="4">
        <v>30000</v>
      </c>
      <c r="E974" s="3">
        <v>1</v>
      </c>
      <c r="F974" s="3" t="s">
        <v>27</v>
      </c>
      <c r="G974" s="3" t="s">
        <v>20</v>
      </c>
      <c r="H974" s="3" t="s">
        <v>15</v>
      </c>
      <c r="I974" s="3">
        <v>1</v>
      </c>
      <c r="J974" s="3" t="s">
        <v>23</v>
      </c>
      <c r="K974" s="3" t="s">
        <v>32</v>
      </c>
      <c r="L974" s="3">
        <v>52</v>
      </c>
      <c r="M974" s="3" t="str">
        <f t="shared" si="15"/>
        <v>Old Age</v>
      </c>
      <c r="N974" s="3" t="s">
        <v>18</v>
      </c>
    </row>
    <row r="975" spans="1:14" x14ac:dyDescent="0.25">
      <c r="A975" s="3">
        <v>11734</v>
      </c>
      <c r="B975" s="3" t="s">
        <v>36</v>
      </c>
      <c r="C975" s="3" t="s">
        <v>39</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39</v>
      </c>
      <c r="D976" s="4">
        <v>70000</v>
      </c>
      <c r="E976" s="3">
        <v>3</v>
      </c>
      <c r="F976" s="3" t="s">
        <v>31</v>
      </c>
      <c r="G976" s="3" t="s">
        <v>28</v>
      </c>
      <c r="H976" s="3" t="s">
        <v>15</v>
      </c>
      <c r="I976" s="3">
        <v>2</v>
      </c>
      <c r="J976" s="3" t="s">
        <v>23</v>
      </c>
      <c r="K976" s="3" t="s">
        <v>32</v>
      </c>
      <c r="L976" s="3">
        <v>53</v>
      </c>
      <c r="M976" s="3" t="str">
        <f t="shared" si="15"/>
        <v>Old Age</v>
      </c>
      <c r="N976" s="3" t="s">
        <v>15</v>
      </c>
    </row>
    <row r="977" spans="1:14" x14ac:dyDescent="0.25">
      <c r="A977" s="3">
        <v>20659</v>
      </c>
      <c r="B977" s="3" t="s">
        <v>36</v>
      </c>
      <c r="C977" s="3" t="s">
        <v>39</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38</v>
      </c>
      <c r="D978" s="4">
        <v>60000</v>
      </c>
      <c r="E978" s="3">
        <v>3</v>
      </c>
      <c r="F978" s="3" t="s">
        <v>13</v>
      </c>
      <c r="G978" s="3" t="s">
        <v>28</v>
      </c>
      <c r="H978" s="3" t="s">
        <v>15</v>
      </c>
      <c r="I978" s="3">
        <v>2</v>
      </c>
      <c r="J978" s="3" t="s">
        <v>46</v>
      </c>
      <c r="K978" s="3" t="s">
        <v>32</v>
      </c>
      <c r="L978" s="3">
        <v>66</v>
      </c>
      <c r="M978" s="3" t="str">
        <f t="shared" si="15"/>
        <v>Old Age</v>
      </c>
      <c r="N978" s="3" t="s">
        <v>18</v>
      </c>
    </row>
    <row r="979" spans="1:14" x14ac:dyDescent="0.25">
      <c r="A979" s="3">
        <v>19741</v>
      </c>
      <c r="B979" s="3" t="s">
        <v>37</v>
      </c>
      <c r="C979" s="3" t="s">
        <v>38</v>
      </c>
      <c r="D979" s="4">
        <v>80000</v>
      </c>
      <c r="E979" s="3">
        <v>4</v>
      </c>
      <c r="F979" s="3" t="s">
        <v>31</v>
      </c>
      <c r="G979" s="3" t="s">
        <v>28</v>
      </c>
      <c r="H979" s="3" t="s">
        <v>15</v>
      </c>
      <c r="I979" s="3">
        <v>2</v>
      </c>
      <c r="J979" s="3" t="s">
        <v>23</v>
      </c>
      <c r="K979" s="3" t="s">
        <v>32</v>
      </c>
      <c r="L979" s="3">
        <v>65</v>
      </c>
      <c r="M979" s="3" t="str">
        <f t="shared" si="15"/>
        <v>Old Age</v>
      </c>
      <c r="N979" s="3" t="s">
        <v>18</v>
      </c>
    </row>
    <row r="980" spans="1:14" x14ac:dyDescent="0.25">
      <c r="A980" s="3">
        <v>17450</v>
      </c>
      <c r="B980" s="3" t="s">
        <v>36</v>
      </c>
      <c r="C980" s="3" t="s">
        <v>39</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39</v>
      </c>
      <c r="D981" s="4">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38</v>
      </c>
      <c r="D982" s="4">
        <v>80000</v>
      </c>
      <c r="E982" s="3">
        <v>3</v>
      </c>
      <c r="F982" s="3" t="s">
        <v>13</v>
      </c>
      <c r="G982" s="3" t="s">
        <v>14</v>
      </c>
      <c r="H982" s="3" t="s">
        <v>15</v>
      </c>
      <c r="I982" s="3">
        <v>3</v>
      </c>
      <c r="J982" s="3" t="s">
        <v>46</v>
      </c>
      <c r="K982" s="3" t="s">
        <v>32</v>
      </c>
      <c r="L982" s="3">
        <v>40</v>
      </c>
      <c r="M982" s="3" t="str">
        <f t="shared" si="15"/>
        <v>Middle Age</v>
      </c>
      <c r="N982" s="3" t="s">
        <v>15</v>
      </c>
    </row>
    <row r="983" spans="1:14" x14ac:dyDescent="0.25">
      <c r="A983" s="3">
        <v>15982</v>
      </c>
      <c r="B983" s="3" t="s">
        <v>36</v>
      </c>
      <c r="C983" s="3" t="s">
        <v>39</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39</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39</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39</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38</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39</v>
      </c>
      <c r="D988" s="4">
        <v>40000</v>
      </c>
      <c r="E988" s="3">
        <v>5</v>
      </c>
      <c r="F988" s="3" t="s">
        <v>27</v>
      </c>
      <c r="G988" s="3" t="s">
        <v>21</v>
      </c>
      <c r="H988" s="3" t="s">
        <v>15</v>
      </c>
      <c r="I988" s="3">
        <v>4</v>
      </c>
      <c r="J988" s="3" t="s">
        <v>46</v>
      </c>
      <c r="K988" s="3" t="s">
        <v>32</v>
      </c>
      <c r="L988" s="3">
        <v>60</v>
      </c>
      <c r="M988" s="3" t="str">
        <f t="shared" si="15"/>
        <v>Old Age</v>
      </c>
      <c r="N988" s="3" t="s">
        <v>15</v>
      </c>
    </row>
    <row r="989" spans="1:14" x14ac:dyDescent="0.25">
      <c r="A989" s="3">
        <v>28972</v>
      </c>
      <c r="B989" s="3" t="s">
        <v>37</v>
      </c>
      <c r="C989" s="3" t="s">
        <v>38</v>
      </c>
      <c r="D989" s="4">
        <v>60000</v>
      </c>
      <c r="E989" s="3">
        <v>3</v>
      </c>
      <c r="F989" s="3" t="s">
        <v>31</v>
      </c>
      <c r="G989" s="3" t="s">
        <v>28</v>
      </c>
      <c r="H989" s="3" t="s">
        <v>15</v>
      </c>
      <c r="I989" s="3">
        <v>2</v>
      </c>
      <c r="J989" s="3" t="s">
        <v>46</v>
      </c>
      <c r="K989" s="3" t="s">
        <v>32</v>
      </c>
      <c r="L989" s="3">
        <v>66</v>
      </c>
      <c r="M989" s="3" t="str">
        <f t="shared" si="15"/>
        <v>Old Age</v>
      </c>
      <c r="N989" s="3" t="s">
        <v>18</v>
      </c>
    </row>
    <row r="990" spans="1:14" x14ac:dyDescent="0.25">
      <c r="A990" s="3">
        <v>22730</v>
      </c>
      <c r="B990" s="3" t="s">
        <v>36</v>
      </c>
      <c r="C990" s="3" t="s">
        <v>39</v>
      </c>
      <c r="D990" s="4">
        <v>70000</v>
      </c>
      <c r="E990" s="3">
        <v>5</v>
      </c>
      <c r="F990" s="3" t="s">
        <v>13</v>
      </c>
      <c r="G990" s="3" t="s">
        <v>28</v>
      </c>
      <c r="H990" s="3" t="s">
        <v>15</v>
      </c>
      <c r="I990" s="3">
        <v>2</v>
      </c>
      <c r="J990" s="3" t="s">
        <v>46</v>
      </c>
      <c r="K990" s="3" t="s">
        <v>32</v>
      </c>
      <c r="L990" s="3">
        <v>63</v>
      </c>
      <c r="M990" s="3" t="str">
        <f t="shared" si="15"/>
        <v>Old Age</v>
      </c>
      <c r="N990" s="3" t="s">
        <v>18</v>
      </c>
    </row>
    <row r="991" spans="1:14" x14ac:dyDescent="0.25">
      <c r="A991" s="3">
        <v>29134</v>
      </c>
      <c r="B991" s="3" t="s">
        <v>36</v>
      </c>
      <c r="C991" s="3" t="s">
        <v>39</v>
      </c>
      <c r="D991" s="4">
        <v>60000</v>
      </c>
      <c r="E991" s="3">
        <v>4</v>
      </c>
      <c r="F991" s="3" t="s">
        <v>13</v>
      </c>
      <c r="G991" s="3" t="s">
        <v>14</v>
      </c>
      <c r="H991" s="3" t="s">
        <v>18</v>
      </c>
      <c r="I991" s="3">
        <v>3</v>
      </c>
      <c r="J991" s="3" t="s">
        <v>46</v>
      </c>
      <c r="K991" s="3" t="s">
        <v>32</v>
      </c>
      <c r="L991" s="3">
        <v>42</v>
      </c>
      <c r="M991" s="3" t="str">
        <f t="shared" si="15"/>
        <v>Middle Age</v>
      </c>
      <c r="N991" s="3" t="s">
        <v>18</v>
      </c>
    </row>
    <row r="992" spans="1:14" x14ac:dyDescent="0.25">
      <c r="A992" s="3">
        <v>14332</v>
      </c>
      <c r="B992" s="3" t="s">
        <v>37</v>
      </c>
      <c r="C992" s="3" t="s">
        <v>38</v>
      </c>
      <c r="D992" s="4">
        <v>30000</v>
      </c>
      <c r="E992" s="3">
        <v>0</v>
      </c>
      <c r="F992" s="3" t="s">
        <v>27</v>
      </c>
      <c r="G992" s="3" t="s">
        <v>14</v>
      </c>
      <c r="H992" s="3" t="s">
        <v>18</v>
      </c>
      <c r="I992" s="3">
        <v>2</v>
      </c>
      <c r="J992" s="3" t="s">
        <v>23</v>
      </c>
      <c r="K992" s="3" t="s">
        <v>32</v>
      </c>
      <c r="L992" s="3">
        <v>26</v>
      </c>
      <c r="M992" s="3" t="str">
        <f t="shared" si="15"/>
        <v>Youth</v>
      </c>
      <c r="N992" s="3" t="s">
        <v>18</v>
      </c>
    </row>
    <row r="993" spans="1:14" x14ac:dyDescent="0.25">
      <c r="A993" s="3">
        <v>19117</v>
      </c>
      <c r="B993" s="3" t="s">
        <v>37</v>
      </c>
      <c r="C993" s="3" t="s">
        <v>38</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39</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39</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39</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39</v>
      </c>
      <c r="D997" s="4">
        <v>60000</v>
      </c>
      <c r="E997" s="5">
        <v>2</v>
      </c>
      <c r="F997" s="3" t="s">
        <v>27</v>
      </c>
      <c r="G997" s="3" t="s">
        <v>21</v>
      </c>
      <c r="H997" s="3" t="s">
        <v>15</v>
      </c>
      <c r="I997" s="3">
        <v>2</v>
      </c>
      <c r="J997" s="3" t="s">
        <v>22</v>
      </c>
      <c r="K997" s="3" t="s">
        <v>32</v>
      </c>
      <c r="L997" s="3">
        <v>54</v>
      </c>
      <c r="M997" s="3" t="str">
        <f t="shared" si="15"/>
        <v>Old Age</v>
      </c>
      <c r="N997" s="3" t="s">
        <v>15</v>
      </c>
    </row>
    <row r="998" spans="1:14" x14ac:dyDescent="0.25">
      <c r="A998" s="3">
        <v>28672</v>
      </c>
      <c r="B998" s="3" t="s">
        <v>37</v>
      </c>
      <c r="C998" s="3" t="s">
        <v>39</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39</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39</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39</v>
      </c>
      <c r="D1001" s="4">
        <v>60000</v>
      </c>
      <c r="E1001" s="3">
        <v>3</v>
      </c>
      <c r="F1001" s="3" t="s">
        <v>27</v>
      </c>
      <c r="G1001" s="3" t="s">
        <v>21</v>
      </c>
      <c r="H1001" s="3" t="s">
        <v>15</v>
      </c>
      <c r="I1001" s="3">
        <v>2</v>
      </c>
      <c r="J1001" s="3" t="s">
        <v>46</v>
      </c>
      <c r="K1001" s="3" t="s">
        <v>32</v>
      </c>
      <c r="L1001" s="3">
        <v>53</v>
      </c>
      <c r="M1001" s="3" t="str">
        <f t="shared" si="15"/>
        <v>Old Age</v>
      </c>
      <c r="N1001" s="3" t="s">
        <v>15</v>
      </c>
    </row>
  </sheetData>
  <autoFilter ref="A1:N1001" xr:uid="{B3479CF9-3E9C-46C2-8EAC-FB179315728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E335-92D8-4044-A019-1315A822C676}">
  <dimension ref="A1:E63"/>
  <sheetViews>
    <sheetView workbookViewId="0">
      <selection activeCell="G32" sqref="G32"/>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 min="6" max="6" width="4.140625" bestFit="1" customWidth="1"/>
    <col min="7" max="7" width="12.85546875" bestFit="1" customWidth="1"/>
    <col min="8" max="8" width="8.140625" bestFit="1" customWidth="1"/>
    <col min="9" max="9" width="4.140625" bestFit="1" customWidth="1"/>
    <col min="10" max="10" width="11.140625" bestFit="1" customWidth="1"/>
    <col min="11" max="11" width="11.28515625" bestFit="1" customWidth="1"/>
    <col min="12" max="12" width="4.140625" bestFit="1" customWidth="1"/>
    <col min="13" max="13" width="7.85546875" bestFit="1" customWidth="1"/>
    <col min="14" max="14" width="4.85546875" bestFit="1" customWidth="1"/>
    <col min="15" max="15" width="4.140625" bestFit="1" customWidth="1"/>
    <col min="16" max="16" width="7.85546875" bestFit="1" customWidth="1"/>
    <col min="17" max="17" width="4.85546875" bestFit="1" customWidth="1"/>
    <col min="18" max="18" width="4.140625" bestFit="1" customWidth="1"/>
    <col min="19" max="19" width="7.85546875" bestFit="1" customWidth="1"/>
    <col min="20" max="20" width="4.85546875" bestFit="1" customWidth="1"/>
    <col min="21" max="21" width="4.140625" bestFit="1" customWidth="1"/>
    <col min="22" max="22" width="7.85546875" bestFit="1" customWidth="1"/>
    <col min="23" max="23" width="4.85546875" bestFit="1" customWidth="1"/>
    <col min="24" max="24" width="4.140625" bestFit="1" customWidth="1"/>
    <col min="25" max="25" width="7.85546875" bestFit="1" customWidth="1"/>
    <col min="26" max="26" width="4.85546875" bestFit="1" customWidth="1"/>
    <col min="27" max="27" width="4.140625" bestFit="1" customWidth="1"/>
    <col min="28" max="28" width="7.85546875" bestFit="1" customWidth="1"/>
    <col min="29" max="29" width="4.85546875" bestFit="1" customWidth="1"/>
    <col min="30" max="30" width="4.140625" bestFit="1" customWidth="1"/>
    <col min="31" max="31" width="7.85546875" bestFit="1" customWidth="1"/>
    <col min="32" max="32" width="4.85546875" bestFit="1" customWidth="1"/>
    <col min="33" max="33" width="4.140625" bestFit="1" customWidth="1"/>
    <col min="34" max="34" width="7.85546875" bestFit="1" customWidth="1"/>
    <col min="35" max="35" width="4.85546875" bestFit="1" customWidth="1"/>
    <col min="36" max="36" width="4.140625" bestFit="1" customWidth="1"/>
    <col min="37" max="37" width="7.85546875" bestFit="1" customWidth="1"/>
    <col min="38" max="38" width="4.85546875" bestFit="1" customWidth="1"/>
    <col min="39" max="39" width="4.140625" bestFit="1" customWidth="1"/>
    <col min="40" max="40" width="7.85546875" bestFit="1" customWidth="1"/>
    <col min="41" max="41" width="4.85546875" bestFit="1" customWidth="1"/>
    <col min="42" max="42" width="4.140625" bestFit="1" customWidth="1"/>
    <col min="43" max="43" width="7.85546875" bestFit="1" customWidth="1"/>
    <col min="44" max="44" width="4.85546875" bestFit="1" customWidth="1"/>
    <col min="45" max="45" width="4.140625" bestFit="1" customWidth="1"/>
    <col min="46" max="46" width="7.85546875" bestFit="1" customWidth="1"/>
    <col min="47" max="47" width="4.85546875" bestFit="1" customWidth="1"/>
    <col min="48" max="48" width="4.140625" bestFit="1" customWidth="1"/>
    <col min="49" max="49" width="7.85546875" bestFit="1" customWidth="1"/>
    <col min="50" max="50" width="4.85546875" bestFit="1" customWidth="1"/>
    <col min="51" max="51" width="4.140625" bestFit="1" customWidth="1"/>
    <col min="52" max="52" width="7.85546875" bestFit="1" customWidth="1"/>
    <col min="53" max="53" width="4.85546875" bestFit="1" customWidth="1"/>
    <col min="54" max="54" width="4.140625" bestFit="1" customWidth="1"/>
    <col min="55" max="55" width="7.85546875" bestFit="1" customWidth="1"/>
    <col min="56" max="56" width="4.85546875" bestFit="1" customWidth="1"/>
    <col min="57" max="57" width="4.140625" bestFit="1" customWidth="1"/>
    <col min="58" max="58" width="7.85546875" bestFit="1" customWidth="1"/>
    <col min="59" max="59" width="4.85546875" bestFit="1" customWidth="1"/>
    <col min="60" max="60" width="4.140625" bestFit="1" customWidth="1"/>
    <col min="61" max="61" width="7.85546875" bestFit="1" customWidth="1"/>
    <col min="62" max="62" width="4.85546875" bestFit="1" customWidth="1"/>
    <col min="63" max="63" width="4.140625" bestFit="1" customWidth="1"/>
    <col min="64" max="64" width="7.85546875" bestFit="1" customWidth="1"/>
    <col min="65" max="65" width="4.85546875" bestFit="1" customWidth="1"/>
    <col min="66" max="66" width="4.140625" bestFit="1" customWidth="1"/>
    <col min="67" max="67" width="7.85546875" bestFit="1" customWidth="1"/>
    <col min="68" max="68" width="4.85546875" bestFit="1" customWidth="1"/>
    <col min="69" max="69" width="4.140625" bestFit="1" customWidth="1"/>
    <col min="70" max="70" width="7.85546875" bestFit="1" customWidth="1"/>
    <col min="71" max="71" width="4.85546875" bestFit="1" customWidth="1"/>
    <col min="72" max="72" width="4.140625" bestFit="1" customWidth="1"/>
    <col min="73" max="73" width="7.85546875" bestFit="1" customWidth="1"/>
    <col min="74" max="74" width="4.85546875" bestFit="1" customWidth="1"/>
    <col min="75" max="75" width="4.140625" bestFit="1" customWidth="1"/>
    <col min="76" max="76" width="7.85546875" bestFit="1" customWidth="1"/>
    <col min="77" max="77" width="4.85546875" bestFit="1" customWidth="1"/>
    <col min="78" max="78" width="4.140625" bestFit="1" customWidth="1"/>
    <col min="79" max="79" width="7.85546875" bestFit="1" customWidth="1"/>
    <col min="80" max="80" width="4.85546875" bestFit="1" customWidth="1"/>
    <col min="81" max="81" width="4.140625" bestFit="1" customWidth="1"/>
    <col min="82" max="82" width="7.85546875" bestFit="1" customWidth="1"/>
    <col min="83" max="83" width="4.85546875" bestFit="1" customWidth="1"/>
    <col min="84" max="84" width="4.140625" bestFit="1" customWidth="1"/>
    <col min="85" max="85" width="7.85546875" bestFit="1" customWidth="1"/>
    <col min="86" max="86" width="4.85546875" bestFit="1" customWidth="1"/>
    <col min="87" max="87" width="4.140625" bestFit="1" customWidth="1"/>
    <col min="88" max="88" width="7.85546875" bestFit="1" customWidth="1"/>
    <col min="89" max="89" width="4.85546875" bestFit="1" customWidth="1"/>
    <col min="90" max="90" width="4.140625" bestFit="1" customWidth="1"/>
    <col min="91" max="91" width="7.85546875" bestFit="1" customWidth="1"/>
    <col min="92" max="92" width="4.85546875" bestFit="1" customWidth="1"/>
    <col min="93" max="93" width="4.140625" bestFit="1" customWidth="1"/>
    <col min="94" max="94" width="7.85546875" bestFit="1" customWidth="1"/>
    <col min="95" max="95" width="4.85546875" bestFit="1" customWidth="1"/>
    <col min="96" max="96" width="4.140625" bestFit="1" customWidth="1"/>
    <col min="97" max="97" width="7.85546875" bestFit="1" customWidth="1"/>
    <col min="98" max="98" width="4.85546875" bestFit="1" customWidth="1"/>
    <col min="99" max="99" width="4.140625" bestFit="1" customWidth="1"/>
    <col min="100" max="100" width="7.85546875" bestFit="1" customWidth="1"/>
    <col min="101" max="101" width="4.85546875" bestFit="1" customWidth="1"/>
    <col min="102" max="102" width="4.140625" bestFit="1" customWidth="1"/>
    <col min="103" max="103" width="7.85546875" bestFit="1" customWidth="1"/>
    <col min="104" max="104" width="4.85546875" bestFit="1" customWidth="1"/>
    <col min="105" max="105" width="4.140625" bestFit="1" customWidth="1"/>
    <col min="106" max="106" width="7.85546875" bestFit="1" customWidth="1"/>
    <col min="107" max="107" width="4.85546875" bestFit="1" customWidth="1"/>
    <col min="108" max="108" width="4.140625" bestFit="1" customWidth="1"/>
    <col min="109" max="109" width="7.85546875" bestFit="1" customWidth="1"/>
    <col min="110" max="110" width="4.85546875" bestFit="1" customWidth="1"/>
    <col min="111" max="111" width="4.140625" bestFit="1" customWidth="1"/>
    <col min="112" max="112" width="7.85546875" bestFit="1" customWidth="1"/>
    <col min="113" max="113" width="4.85546875" bestFit="1" customWidth="1"/>
    <col min="114" max="114" width="4.140625" bestFit="1" customWidth="1"/>
    <col min="115" max="115" width="7.85546875" bestFit="1" customWidth="1"/>
    <col min="116" max="116" width="4.85546875" bestFit="1" customWidth="1"/>
    <col min="117" max="117" width="4.140625" bestFit="1" customWidth="1"/>
    <col min="118" max="118" width="7.85546875" bestFit="1" customWidth="1"/>
    <col min="119" max="119" width="4.85546875" bestFit="1" customWidth="1"/>
    <col min="120" max="120" width="4.140625" bestFit="1" customWidth="1"/>
    <col min="121" max="121" width="7.85546875" bestFit="1" customWidth="1"/>
    <col min="122" max="122" width="4.85546875" bestFit="1" customWidth="1"/>
    <col min="123" max="123" width="4.140625" bestFit="1" customWidth="1"/>
    <col min="124" max="124" width="7.85546875" bestFit="1" customWidth="1"/>
    <col min="125" max="125" width="4.85546875" bestFit="1" customWidth="1"/>
    <col min="126" max="126" width="4.140625" bestFit="1" customWidth="1"/>
    <col min="127" max="127" width="7.85546875" bestFit="1" customWidth="1"/>
    <col min="128" max="128" width="4.85546875" bestFit="1" customWidth="1"/>
    <col min="129" max="129" width="4.140625" bestFit="1" customWidth="1"/>
    <col min="130" max="130" width="7.85546875" bestFit="1" customWidth="1"/>
    <col min="131" max="131" width="4.85546875" bestFit="1" customWidth="1"/>
    <col min="132" max="132" width="7.85546875" bestFit="1" customWidth="1"/>
    <col min="133" max="133" width="4.85546875" bestFit="1" customWidth="1"/>
    <col min="134" max="134" width="7.85546875" bestFit="1" customWidth="1"/>
    <col min="135" max="135" width="4.85546875" bestFit="1" customWidth="1"/>
    <col min="136" max="136" width="4.140625" bestFit="1" customWidth="1"/>
    <col min="137" max="137" width="7.85546875" bestFit="1" customWidth="1"/>
    <col min="138" max="138" width="4.85546875" bestFit="1" customWidth="1"/>
    <col min="139" max="139" width="7.85546875" bestFit="1" customWidth="1"/>
    <col min="140" max="140" width="4.85546875" bestFit="1" customWidth="1"/>
    <col min="141" max="141" width="7.85546875" bestFit="1" customWidth="1"/>
    <col min="142" max="142" width="4.85546875" bestFit="1" customWidth="1"/>
    <col min="143" max="143" width="4.140625" bestFit="1" customWidth="1"/>
    <col min="144" max="144" width="7.85546875" bestFit="1" customWidth="1"/>
    <col min="145" max="145" width="4.85546875" bestFit="1" customWidth="1"/>
    <col min="146" max="146" width="7.85546875" bestFit="1" customWidth="1"/>
    <col min="147" max="147" width="4.85546875" bestFit="1" customWidth="1"/>
    <col min="148" max="148" width="4.140625" bestFit="1" customWidth="1"/>
    <col min="149" max="149" width="7.85546875" bestFit="1" customWidth="1"/>
    <col min="150" max="150" width="4.85546875" bestFit="1" customWidth="1"/>
    <col min="151" max="151" width="7.85546875" bestFit="1" customWidth="1"/>
    <col min="152" max="152" width="4.85546875" bestFit="1" customWidth="1"/>
    <col min="153" max="153" width="7.85546875" bestFit="1" customWidth="1"/>
    <col min="154" max="154" width="11.28515625" bestFit="1" customWidth="1"/>
  </cols>
  <sheetData>
    <row r="1" spans="1:4" x14ac:dyDescent="0.25">
      <c r="A1" s="9" t="s">
        <v>44</v>
      </c>
      <c r="B1" s="9" t="s">
        <v>43</v>
      </c>
      <c r="C1" s="8"/>
      <c r="D1" s="8"/>
    </row>
    <row r="2" spans="1:4" x14ac:dyDescent="0.25">
      <c r="A2" s="9" t="s">
        <v>41</v>
      </c>
      <c r="B2" s="8" t="s">
        <v>18</v>
      </c>
      <c r="C2" s="8" t="s">
        <v>15</v>
      </c>
      <c r="D2" s="8" t="s">
        <v>42</v>
      </c>
    </row>
    <row r="3" spans="1:4" x14ac:dyDescent="0.25">
      <c r="A3" s="10" t="s">
        <v>38</v>
      </c>
      <c r="B3" s="8">
        <v>53440</v>
      </c>
      <c r="C3" s="8">
        <v>55774.058577405856</v>
      </c>
      <c r="D3" s="8">
        <v>54580.777096114522</v>
      </c>
    </row>
    <row r="4" spans="1:4" x14ac:dyDescent="0.25">
      <c r="A4" s="10" t="s">
        <v>39</v>
      </c>
      <c r="B4" s="8">
        <v>56208.178438661707</v>
      </c>
      <c r="C4" s="8">
        <v>60123.966942148763</v>
      </c>
      <c r="D4" s="8">
        <v>58062.62230919765</v>
      </c>
    </row>
    <row r="5" spans="1:4" x14ac:dyDescent="0.25">
      <c r="A5" s="10" t="s">
        <v>42</v>
      </c>
      <c r="B5" s="8">
        <v>54874.759152215796</v>
      </c>
      <c r="C5" s="8">
        <v>57962.577962577961</v>
      </c>
      <c r="D5" s="8">
        <v>56360</v>
      </c>
    </row>
    <row r="17" spans="2:5" x14ac:dyDescent="0.25">
      <c r="B17" s="6" t="s">
        <v>45</v>
      </c>
      <c r="C17" s="6" t="s">
        <v>43</v>
      </c>
    </row>
    <row r="18" spans="2:5" x14ac:dyDescent="0.25">
      <c r="B18" s="6" t="s">
        <v>41</v>
      </c>
      <c r="C18" t="s">
        <v>18</v>
      </c>
      <c r="D18" t="s">
        <v>15</v>
      </c>
      <c r="E18" t="s">
        <v>42</v>
      </c>
    </row>
    <row r="19" spans="2:5" x14ac:dyDescent="0.25">
      <c r="B19" s="7" t="s">
        <v>16</v>
      </c>
      <c r="C19" s="11">
        <v>166</v>
      </c>
      <c r="D19" s="11">
        <v>200</v>
      </c>
      <c r="E19" s="11">
        <v>366</v>
      </c>
    </row>
    <row r="20" spans="2:5" x14ac:dyDescent="0.25">
      <c r="B20" s="7" t="s">
        <v>26</v>
      </c>
      <c r="C20" s="11">
        <v>92</v>
      </c>
      <c r="D20" s="11">
        <v>77</v>
      </c>
      <c r="E20" s="11">
        <v>169</v>
      </c>
    </row>
    <row r="21" spans="2:5" x14ac:dyDescent="0.25">
      <c r="B21" s="7" t="s">
        <v>22</v>
      </c>
      <c r="C21" s="11">
        <v>67</v>
      </c>
      <c r="D21" s="11">
        <v>95</v>
      </c>
      <c r="E21" s="11">
        <v>162</v>
      </c>
    </row>
    <row r="22" spans="2:5" x14ac:dyDescent="0.25">
      <c r="B22" s="7" t="s">
        <v>23</v>
      </c>
      <c r="C22" s="11">
        <v>116</v>
      </c>
      <c r="D22" s="11">
        <v>76</v>
      </c>
      <c r="E22" s="11">
        <v>192</v>
      </c>
    </row>
    <row r="23" spans="2:5" x14ac:dyDescent="0.25">
      <c r="B23" s="7" t="s">
        <v>46</v>
      </c>
      <c r="C23" s="11">
        <v>78</v>
      </c>
      <c r="D23" s="11">
        <v>33</v>
      </c>
      <c r="E23" s="11">
        <v>111</v>
      </c>
    </row>
    <row r="24" spans="2:5" x14ac:dyDescent="0.25">
      <c r="B24" s="7" t="s">
        <v>42</v>
      </c>
      <c r="C24" s="11">
        <v>519</v>
      </c>
      <c r="D24" s="11">
        <v>481</v>
      </c>
      <c r="E24" s="11">
        <v>1000</v>
      </c>
    </row>
    <row r="58" spans="1:4" x14ac:dyDescent="0.25">
      <c r="A58" s="6" t="s">
        <v>45</v>
      </c>
      <c r="B58" s="6" t="s">
        <v>43</v>
      </c>
    </row>
    <row r="59" spans="1:4" x14ac:dyDescent="0.25">
      <c r="A59" s="6" t="s">
        <v>41</v>
      </c>
      <c r="B59" t="s">
        <v>18</v>
      </c>
      <c r="C59" t="s">
        <v>15</v>
      </c>
      <c r="D59" t="s">
        <v>42</v>
      </c>
    </row>
    <row r="60" spans="1:4" x14ac:dyDescent="0.25">
      <c r="A60" s="7" t="s">
        <v>47</v>
      </c>
      <c r="B60" s="11">
        <v>292</v>
      </c>
      <c r="C60" s="11">
        <v>344</v>
      </c>
      <c r="D60" s="11">
        <v>636</v>
      </c>
    </row>
    <row r="61" spans="1:4" x14ac:dyDescent="0.25">
      <c r="A61" s="7" t="s">
        <v>48</v>
      </c>
      <c r="B61" s="11">
        <v>156</v>
      </c>
      <c r="C61" s="11">
        <v>98</v>
      </c>
      <c r="D61" s="11">
        <v>254</v>
      </c>
    </row>
    <row r="62" spans="1:4" x14ac:dyDescent="0.25">
      <c r="A62" s="7" t="s">
        <v>49</v>
      </c>
      <c r="B62" s="11">
        <v>71</v>
      </c>
      <c r="C62" s="11">
        <v>39</v>
      </c>
      <c r="D62" s="11">
        <v>110</v>
      </c>
    </row>
    <row r="63" spans="1:4" x14ac:dyDescent="0.25">
      <c r="A63" s="7" t="s">
        <v>42</v>
      </c>
      <c r="B63" s="11">
        <v>519</v>
      </c>
      <c r="C63" s="11">
        <v>481</v>
      </c>
      <c r="D63"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B8C8-FBDB-48CA-A667-DD17A8C01680}">
  <dimension ref="A1:O5"/>
  <sheetViews>
    <sheetView showGridLines="0" tabSelected="1" topLeftCell="A4" workbookViewId="0">
      <selection activeCell="U24" sqref="U24"/>
    </sheetView>
  </sheetViews>
  <sheetFormatPr defaultRowHeight="15" x14ac:dyDescent="0.25"/>
  <sheetData>
    <row r="1" spans="1:15" ht="15" customHeight="1" x14ac:dyDescent="0.25">
      <c r="A1" s="12" t="s">
        <v>50</v>
      </c>
      <c r="B1" s="12"/>
      <c r="C1" s="12"/>
      <c r="D1" s="12"/>
      <c r="E1" s="12"/>
      <c r="F1" s="12"/>
      <c r="G1" s="12"/>
      <c r="H1" s="12"/>
      <c r="I1" s="12"/>
      <c r="J1" s="12"/>
      <c r="K1" s="12"/>
      <c r="L1" s="12"/>
      <c r="M1" s="12"/>
      <c r="N1" s="12"/>
      <c r="O1" s="12"/>
    </row>
    <row r="2" spans="1:15" x14ac:dyDescent="0.25">
      <c r="A2" s="12"/>
      <c r="B2" s="12"/>
      <c r="C2" s="12"/>
      <c r="D2" s="12"/>
      <c r="E2" s="12"/>
      <c r="F2" s="12"/>
      <c r="G2" s="12"/>
      <c r="H2" s="12"/>
      <c r="I2" s="12"/>
      <c r="J2" s="12"/>
      <c r="K2" s="12"/>
      <c r="L2" s="12"/>
      <c r="M2" s="12"/>
      <c r="N2" s="12"/>
      <c r="O2" s="12"/>
    </row>
    <row r="3" spans="1:15" x14ac:dyDescent="0.25">
      <c r="A3" s="12"/>
      <c r="B3" s="12"/>
      <c r="C3" s="12"/>
      <c r="D3" s="12"/>
      <c r="E3" s="12"/>
      <c r="F3" s="12"/>
      <c r="G3" s="12"/>
      <c r="H3" s="12"/>
      <c r="I3" s="12"/>
      <c r="J3" s="12"/>
      <c r="K3" s="12"/>
      <c r="L3" s="12"/>
      <c r="M3" s="12"/>
      <c r="N3" s="12"/>
      <c r="O3" s="12"/>
    </row>
    <row r="4" spans="1:15" x14ac:dyDescent="0.25">
      <c r="A4" s="12"/>
      <c r="B4" s="12"/>
      <c r="C4" s="12"/>
      <c r="D4" s="12"/>
      <c r="E4" s="12"/>
      <c r="F4" s="12"/>
      <c r="G4" s="12"/>
      <c r="H4" s="12"/>
      <c r="I4" s="12"/>
      <c r="J4" s="12"/>
      <c r="K4" s="12"/>
      <c r="L4" s="12"/>
      <c r="M4" s="12"/>
      <c r="N4" s="12"/>
      <c r="O4" s="12"/>
    </row>
    <row r="5" spans="1:15" x14ac:dyDescent="0.25">
      <c r="A5" s="12"/>
      <c r="B5" s="12"/>
      <c r="C5" s="12"/>
      <c r="D5" s="12"/>
      <c r="E5" s="12"/>
      <c r="F5" s="12"/>
      <c r="G5" s="12"/>
      <c r="H5" s="12"/>
      <c r="I5" s="12"/>
      <c r="J5" s="12"/>
      <c r="K5" s="12"/>
      <c r="L5" s="12"/>
      <c r="M5" s="12"/>
      <c r="N5" s="12"/>
      <c r="O5" s="12"/>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Shane Rodrigues (40222468)</cp:lastModifiedBy>
  <dcterms:created xsi:type="dcterms:W3CDTF">2022-03-18T02:50:57Z</dcterms:created>
  <dcterms:modified xsi:type="dcterms:W3CDTF">2025-10-31T01:18:18Z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9d3aa1-a3fe-4344-a8c9-e8808d790e49_Enabled">
    <vt:lpwstr>true</vt:lpwstr>
  </property>
  <property fmtid="{D5CDD505-2E9C-101B-9397-08002B2CF9AE}" pid="3" name="MSIP_Label_649d3aa1-a3fe-4344-a8c9-e8808d790e49_SetDate">
    <vt:lpwstr>2025-10-24T23:29:56Z</vt:lpwstr>
  </property>
  <property fmtid="{D5CDD505-2E9C-101B-9397-08002B2CF9AE}" pid="4" name="MSIP_Label_649d3aa1-a3fe-4344-a8c9-e8808d790e49_Method">
    <vt:lpwstr>Standard</vt:lpwstr>
  </property>
  <property fmtid="{D5CDD505-2E9C-101B-9397-08002B2CF9AE}" pid="5" name="MSIP_Label_649d3aa1-a3fe-4344-a8c9-e8808d790e49_Name">
    <vt:lpwstr>defa4170-0d19-0005-0004-bc88714345d2</vt:lpwstr>
  </property>
  <property fmtid="{D5CDD505-2E9C-101B-9397-08002B2CF9AE}" pid="6" name="MSIP_Label_649d3aa1-a3fe-4344-a8c9-e8808d790e49_SiteId">
    <vt:lpwstr>d09920b6-7504-4433-8c2c-33102485a01d</vt:lpwstr>
  </property>
  <property fmtid="{D5CDD505-2E9C-101B-9397-08002B2CF9AE}" pid="7" name="MSIP_Label_649d3aa1-a3fe-4344-a8c9-e8808d790e49_ActionId">
    <vt:lpwstr>8b837bf2-f326-42a1-9b5c-c0cb9c8e5993</vt:lpwstr>
  </property>
  <property fmtid="{D5CDD505-2E9C-101B-9397-08002B2CF9AE}" pid="8" name="MSIP_Label_649d3aa1-a3fe-4344-a8c9-e8808d790e49_ContentBits">
    <vt:lpwstr>0</vt:lpwstr>
  </property>
  <property fmtid="{D5CDD505-2E9C-101B-9397-08002B2CF9AE}" pid="9" name="MSIP_Label_649d3aa1-a3fe-4344-a8c9-e8808d790e49_Tag">
    <vt:lpwstr>10, 3, 0, 1</vt:lpwstr>
  </property>
</Properties>
</file>